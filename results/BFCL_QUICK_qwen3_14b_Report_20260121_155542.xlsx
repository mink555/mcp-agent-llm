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Results" sheetId="1" state="visible" r:id="rId1"/>
    <sheet xmlns:r="http://schemas.openxmlformats.org/officeDocument/2006/relationships" name="Summary (BFCL)" sheetId="2" state="visible" r:id="rId2"/>
    <sheet xmlns:r="http://schemas.openxmlformats.org/officeDocument/2006/relationships" name="Dataset Info" sheetId="3" state="visible" r:id="rId3"/>
    <sheet xmlns:r="http://schemas.openxmlformats.org/officeDocument/2006/relationships" name="Reference"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D32F2F"/>
    </font>
    <font>
      <b val="1"/>
      <sz val="11"/>
    </font>
    <font>
      <b val="1"/>
      <color rgb="002E7D32"/>
      <sz val="12"/>
    </font>
    <font>
      <b val="1"/>
      <color rgb="00333333"/>
    </font>
  </fonts>
  <fills count="5">
    <fill>
      <patternFill/>
    </fill>
    <fill>
      <patternFill patternType="gray125"/>
    </fill>
    <fill>
      <patternFill patternType="solid">
        <fgColor rgb="00F2F2F2"/>
        <bgColor rgb="00F2F2F2"/>
      </patternFill>
    </fill>
    <fill>
      <patternFill patternType="solid">
        <fgColor rgb="00FAFAFA"/>
        <bgColor rgb="00FAFAFA"/>
      </patternFill>
    </fill>
    <fill>
      <patternFill patternType="solid">
        <fgColor rgb="00E7E6E6"/>
        <bgColor rgb="00E7E6E6"/>
      </patternFill>
    </fill>
  </fills>
  <borders count="3">
    <border>
      <left/>
      <right/>
      <top/>
      <bottom/>
      <diagonal/>
    </border>
    <border>
      <left style="thin"/>
      <right style="thin"/>
      <top style="thin"/>
      <bottom style="thin"/>
    </border>
    <border>
      <left style="thin">
        <color rgb="00E0E0E0"/>
      </left>
      <right style="thin">
        <color rgb="00E0E0E0"/>
      </right>
      <top style="thin">
        <color rgb="00E0E0E0"/>
      </top>
      <bottom style="thin">
        <color rgb="00E0E0E0"/>
      </bottom>
    </border>
  </borders>
  <cellStyleXfs count="1">
    <xf numFmtId="0" fontId="0" fillId="0" borderId="0"/>
  </cellStyleXfs>
  <cellXfs count="16">
    <xf numFmtId="0" fontId="0" fillId="0" borderId="0" pivotButton="0" quotePrefix="0" xfId="0"/>
    <xf numFmtId="0" fontId="1" fillId="2" borderId="2" applyAlignment="1" pivotButton="0" quotePrefix="0" xfId="0">
      <alignment horizontal="center" vertical="center"/>
    </xf>
    <xf numFmtId="0" fontId="0" fillId="3" borderId="2" applyAlignment="1" pivotButton="0" quotePrefix="0" xfId="0">
      <alignment vertical="top" wrapText="1" indent="1"/>
    </xf>
    <xf numFmtId="0" fontId="2" fillId="3" borderId="2" applyAlignment="1" pivotButton="0" quotePrefix="0" xfId="0">
      <alignment horizontal="center" vertical="center"/>
    </xf>
    <xf numFmtId="0" fontId="0" fillId="0" borderId="2" applyAlignment="1" pivotButton="0" quotePrefix="0" xfId="0">
      <alignment vertical="top" wrapText="1" indent="1"/>
    </xf>
    <xf numFmtId="0" fontId="2" fillId="0" borderId="2" applyAlignment="1" pivotButton="0" quotePrefix="0" xfId="0">
      <alignment horizontal="center" vertical="center"/>
    </xf>
    <xf numFmtId="0" fontId="0" fillId="3" borderId="2" applyAlignment="1" pivotButton="0" quotePrefix="0" xfId="0">
      <alignment vertical="center" wrapText="1" indent="1"/>
    </xf>
    <xf numFmtId="0" fontId="0" fillId="3" borderId="2" applyAlignment="1" pivotButton="0" quotePrefix="0" xfId="0">
      <alignment horizontal="center" vertical="center"/>
    </xf>
    <xf numFmtId="0" fontId="3" fillId="3" borderId="2" applyAlignment="1" pivotButton="0" quotePrefix="0" xfId="0">
      <alignment vertical="center" wrapText="1" indent="1"/>
    </xf>
    <xf numFmtId="0" fontId="4" fillId="3" borderId="2" applyAlignment="1" pivotButton="0" quotePrefix="0" xfId="0">
      <alignment horizontal="center" vertical="center"/>
    </xf>
    <xf numFmtId="0" fontId="0" fillId="0" borderId="2" applyAlignment="1" pivotButton="0" quotePrefix="0" xfId="0">
      <alignment vertical="center" wrapText="1" indent="1"/>
    </xf>
    <xf numFmtId="0" fontId="0" fillId="0" borderId="2" applyAlignment="1" pivotButton="0" quotePrefix="0" xfId="0">
      <alignment horizontal="center" vertical="center"/>
    </xf>
    <xf numFmtId="0" fontId="5" fillId="4" borderId="2" applyAlignment="1" pivotButton="0" quotePrefix="0" xfId="0">
      <alignment vertical="center" wrapText="1" indent="1"/>
    </xf>
    <xf numFmtId="0" fontId="0" fillId="4" borderId="2" applyAlignment="1" pivotButton="0" quotePrefix="0" xfId="0">
      <alignment horizontal="center" vertical="center"/>
    </xf>
    <xf numFmtId="0" fontId="0" fillId="4" borderId="2" applyAlignment="1" pivotButton="0" quotePrefix="0" xfId="0">
      <alignment vertical="center" wrapText="1" indent="1"/>
    </xf>
    <xf numFmtId="0" fontId="1"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0" customWidth="1" min="3" max="3"/>
    <col width="40" customWidth="1" min="4" max="4"/>
    <col width="30" customWidth="1" min="5" max="5"/>
    <col width="30" customWidth="1" min="6" max="6"/>
    <col width="30" customWidth="1" min="7" max="7"/>
    <col width="30" customWidth="1" min="8" max="8"/>
    <col width="15" customWidth="1" min="9" max="9"/>
  </cols>
  <sheetData>
    <row r="1">
      <c r="A1" s="1" t="inlineStr">
        <is>
          <t>카테고리</t>
        </is>
      </c>
      <c r="B1" s="1" t="inlineStr">
        <is>
          <t>ID</t>
        </is>
      </c>
      <c r="C1" s="1" t="inlineStr">
        <is>
          <t>결과</t>
        </is>
      </c>
      <c r="D1" s="1" t="inlineStr">
        <is>
          <t>질문</t>
        </is>
      </c>
      <c r="E1" s="1" t="inlineStr">
        <is>
          <t>검증 상세</t>
        </is>
      </c>
      <c r="F1" s="1" t="inlineStr">
        <is>
          <t>사고과정</t>
        </is>
      </c>
      <c r="G1" s="1" t="inlineStr">
        <is>
          <t>누적 호출(AST)</t>
        </is>
      </c>
      <c r="H1" s="1" t="inlineStr">
        <is>
          <t>정답(GT)</t>
        </is>
      </c>
      <c r="I1" s="1" t="inlineStr">
        <is>
          <t>Latency</t>
        </is>
      </c>
    </row>
    <row r="2">
      <c r="A2" s="2" t="inlineStr">
        <is>
          <t>multi_turn_base</t>
        </is>
      </c>
      <c r="B2" s="2" t="inlineStr">
        <is>
          <t>multi_turn_base_0</t>
        </is>
      </c>
      <c r="C2" s="3" t="inlineStr">
        <is>
          <t>FAIL</t>
        </is>
      </c>
      <c r="D2" s="2" t="inlineStr">
        <is>
          <t>Move 'final_report.pdf' within document directory to 'temp' directory in document. Make sure to create the directory</t>
        </is>
      </c>
      <c r="E2" s="2" t="inlineStr">
        <is>
          <t>❌ No tool calls generated</t>
        </is>
      </c>
      <c r="F2" s="2" t="inlineStr">
        <is>
          <t xml:space="preserve">
Okay, let's see. The user wants to move 'previous_report.pdf' to the temp directory and then compare it with 'final_report.pdf' to find any critical changes.
First, I need to move the 'previous_report.pdf' to the temp directory. The previous steps already moved 'final_report.pdf' there, so I should use the moveFile function again. The destination path would be 'temp/previous_report.pdf'.
Next, comparing the two PDFs. The user mentioned "juxtapose" which probably means a side-by-side comparison. But since these are PDFs, I need to check if there's a function that can handle that. The available functions are createDirectory, moveFile, executeCommand. The executeCommand can run shell commands. 
I remember that 'diff' is a command-line tool for comparing files. However, PDFs are binary files, so a regular diff might not be useful. But maybe the user expects a text-based comparison. If the PDFs are text-based, converting them to text first would be necessary. 
Wait, in the previous steps, the user tried to use grep on the PDF, which might not work well. So maybe the PDFs are actually text files with a .pdf extension, or maybe they are scanned images. But the user is asking to compare them, so perhaps they are text-based. 
Assuming they are text files, I can use the 'diff' command. But the user might want a more detailed comparison. Alternatively, using 'cmp' to check for differences. However, the user wants to detect "critical alterations," which might mean content changes, not just binary differences. 
Another approach is to convert both PDFs to text using pdftotext and then compare the text files. So the steps would be:
1. Move 'previous_report.pdf' to temp.
2. Convert both 'final_report.pdf' and 'previous_report.pdf' to text.
3. Compare the text files using diff.
But the functions available don't include pdftotext. The user can only use executeCommand. So I can use the executeCommand function to run the necessary commands. 
So the plan is:
- Move 'previous_report.pdf' to temp.
- Use pdftotext to convert both PDFs to text in temp.
- Use diff to compare the text files.
But I need to check if pdftotext is available. Assuming it is, the commands would be:
pdftotext temp/final_report.pdf temp/final_report.txt
pdftotext temp/previous_report.pdf temp/previous_report.txt
diff temp/final_report.txt temp/previous_report.txt
Alternatively, if the PDFs are already text-based, maybe just compare them directly. But since the user had issues with grep before, it's safer to convert to text first.
So the function calls would be:
First, move the previous report.
Then, execute the conversion and diff commands.
But the user's instruction says to "proceed to juxtapose it with 'previous_report.pdf' to detect any critical alterations." So the juxtaposition might be the diff output.
So the answer should include moving the previous report, then using executeCommand to run the necessary steps to compare them.
</t>
        </is>
      </c>
      <c r="G2" s="2" t="inlineStr">
        <is>
          <t>[]</t>
        </is>
      </c>
      <c r="H2" s="2" t="inlineStr">
        <is>
          <t>[["cd(folder='document')", "mkdir(dir_name='temp')", "mv(source='final_report.pdf', destination='temp')"], ["cd(folder='temp')", "grep(file_name='final_report.pdf',pattern='budget analysis')"], ["sort('final_report.pdf')"], ["cd(folder='..')", "mv(source='previous_report.pdf',destination='temp')", "cd(folder='temp')", "diff(file_name1='final_report.pdf',file_name2='previous_report.pdf')"]]</t>
        </is>
      </c>
      <c r="I2" s="2" t="n">
        <v>29818.51</v>
      </c>
    </row>
    <row r="3">
      <c r="A3" s="4" t="inlineStr">
        <is>
          <t>multi_turn_miss_func</t>
        </is>
      </c>
      <c r="B3" s="4" t="inlineStr">
        <is>
          <t>multi_turn_miss_func_0</t>
        </is>
      </c>
      <c r="C3" s="5" t="inlineStr">
        <is>
          <t>FAIL</t>
        </is>
      </c>
      <c r="D3" s="4" t="inlineStr">
        <is>
          <t>Move 'final_report.pdf' within document directory to 'temp' directory in document. Make sure to create the directory</t>
        </is>
      </c>
      <c r="E3" s="4" t="inlineStr">
        <is>
          <t>❌ No tool calls generated</t>
        </is>
      </c>
      <c r="F3" s="4" t="inlineStr">
        <is>
          <t xml:space="preserve">
Okay, let's see. The user wants to move 'previous_report.pdf' to the temp directory and then compare it with 'final_report.pdf' to find any critical changes.
First, I need to check if the temp directory exists. If not, I should create it. But the user already mentioned moving 'final_report.pdf' to temp earlier, so maybe the directory is already there. However, to be safe, I should check if creating the directory again is needed. But the tools available only have createDirectory and moveFile functions. Since the user says "as well," implying the temp directory already exists from the previous step, maybe I don't need to create it again. But the function requires the path, so I'll proceed to move the file.
Next, move 'previous_report.pdf' to 'document/temp/previous_report.pdf' using moveFile. Then, juxtapose the two files. But wait, there's no function for comparing files. The available functions don't include a compareFiles or any text processing tools. The user might be expecting a function that isn't available. So I need to inform them that I can't perform the comparison with the current tools. However, the user might think that after moving both files to temp, they can be compared. But since the tools don't support that, I should point out the limitation.
</t>
        </is>
      </c>
      <c r="G3" s="4" t="inlineStr">
        <is>
          <t>[]</t>
        </is>
      </c>
      <c r="H3" s="4" t="inlineStr">
        <is>
          <t>[["cd(folder='document')", "mkdir(dir_name='temp')", "mv(source='final_report.pdf', destination='temp')"], ["cd(folder='temp')", "grep(file_name='final_report.pdf',pattern='budget analysis')"], [], ["sort('final_report.pdf')"], ["cd(folder='..')", "mv(source='previous_report.pdf',destination='temp')", "cd(folder='temp')", "diff(file_name1='final_report.pdf',file_name2='previous_report.pdf')"]]</t>
        </is>
      </c>
      <c r="I3" s="4" t="n">
        <v>16948.66</v>
      </c>
    </row>
    <row r="4">
      <c r="A4" s="2" t="inlineStr">
        <is>
          <t>multi_turn_miss_param</t>
        </is>
      </c>
      <c r="B4" s="2" t="inlineStr">
        <is>
          <t>multi_turn_miss_param_0</t>
        </is>
      </c>
      <c r="C4" s="3" t="inlineStr">
        <is>
          <t>FAIL</t>
        </is>
      </c>
      <c r="D4" s="2" t="inlineStr">
        <is>
          <t>Move 'final_report.pdf' within document directory to 'temp' directory in document. Make sure to create the directory</t>
        </is>
      </c>
      <c r="E4" s="2" t="inlineStr">
        <is>
          <t>❌ No tool calls generated</t>
        </is>
      </c>
      <c r="F4" s="2" t="inlineStr">
        <is>
          <t xml:space="preserve">
Okay, let's see. The user wants to move another file from the document directory to the temp directory. The specific file mentioned is 'previous_report.pdf'. They also want to juxtapose it with 'final_report.pdf' to detect critical alterations.
First, I need to check if the 'temp' directory already exists. From the previous interaction, the user had created 'temp' earlier, but maybe I should confirm. However, the user didn't mention creating it again, so I can assume it's already there. But to be safe, maybe I should check. Wait, the tools available don't have a 'checkDirectory' function, only 'createDirectory'. So if it's not there, the move might fail. But the user previously created it, so maybe it's okay.
Next, move 'previous_report.pdf' to 'temp'. The function call would be moveFile with sourcePath "document/previous_report.pdf" and destinationPath "document/temp/previous_report.pdf".
Then, juxtapose the two files. The user wants to detect critical alterations. The tools don't have a direct 'compareFiles' function, but maybe using 'diff' as a command-line tool. However, the available functions are grep, createDirectory, moveFile. Wait, the user might be expecting a function that's not listed. But according to the rules, I can only use the provided functions. Since there's no compare function, I need to inform the user that I can't perform the comparison with the available tools. But the user might have expected a different approach. Alternatively, maybe they want to use grep to find differences, but that's not the same as a full comparison. 
Wait, the user said "juxtapose it with 'previous_report.pdf' to detect any critical alterations." Juxtapose might mean placing them side by side, but in a file context, it's likely comparing them. Since the tools don't include a comparison function, I should point that out. However, the user might have intended to use a different method. But according to the rules, I can only use the functions provided. So after moving the file, I need to tell the user that the comparison isn't possible with current tools. Alternatively, maybe the user expects me to use grep on both files for the same pattern, but that's not a full comparison. 
So the steps are: move the file, then inform the user that the comparison can't be done with available functions. But the user might have thought that juxtapose is a function. But in the tools list, there's no such function. Therefore, the correct approach is to move the file and then explain the limitation.
</t>
        </is>
      </c>
      <c r="G4" s="2" t="inlineStr">
        <is>
          <t>[]</t>
        </is>
      </c>
      <c r="H4" s="2" t="inlineStr">
        <is>
          <t>[["cd(folder='document')", "mkdir(dir_name='temp')", "mv(source='final_report.pdf', destination='temp')"], ["cd(folder='temp')", "grep(file_name='final_report.pdf',pattern='budget analysis')"], ["sort('final_report.pdf')"], [], ["cd(folder='..')", "mv(source='previous_report.pdf',destination='temp')", "cd(folder='temp')", "diff(file_name1='final_report.pdf',file_name2='previous_report.pdf')"]]</t>
        </is>
      </c>
      <c r="I4" s="2" t="n">
        <v>23188.89</v>
      </c>
    </row>
    <row r="5">
      <c r="A5" s="4" t="inlineStr">
        <is>
          <t>multi_turn_long_context</t>
        </is>
      </c>
      <c r="B5" s="4" t="inlineStr">
        <is>
          <t>multi_turn_long_context_0</t>
        </is>
      </c>
      <c r="C5" s="5" t="inlineStr">
        <is>
          <t>FAIL</t>
        </is>
      </c>
      <c r="D5" s="4" t="inlineStr">
        <is>
          <t>Move 'final_report.pdf' within document directory to 'temp' directory in document. Make sure to create the directory</t>
        </is>
      </c>
      <c r="E5" s="4" t="inlineStr">
        <is>
          <t>❌ No tool calls generated</t>
        </is>
      </c>
      <c r="F5" s="4" t="inlineStr">
        <is>
          <t xml:space="preserve">
Okay, let's tackle this user request step by step. The user wants to move 'previous_report.pdf' to the temp directory and then compare it with 'final_report.pdf' to detect any critical alterations.
First, I need to move 'previous_report.pdf' to the temp directory. Since the temp directory was already created earlier, I can use the moveFile function again. The source is 'previous_report.pdf' in the document directory, and the destination is 'temp/previous_report.pdf'.
Next, the user wants to juxtapose the two files. The term "juxtapose" here likely means comparing the contents. The available functions don't include a direct file comparison tool, but the executeCommand function can run shell commands. The 'diff' command is suitable for comparing files line by line. So, I'll use executeCommand with 'diff temp/final_report.pdf temp/previous_report.pdf'. This will show the differences between the two files.
I need to make sure the parameters are correct. The moveFile command's source is the original file path, and the destination includes the temp directory. For the diff command, both files are in the temp directory. Also, I should check if the user expects a specific format for the output, but since they just want critical alterations detected, the standard diff output should suffice.
Wait, the user mentioned 'having final report also there' which might mean ensuring 'final_report.pdf' is already in temp. Since earlier steps moved it there, that's already handled. So the main steps are moving 'previous_report.pdf' and then running the diff.
</t>
        </is>
      </c>
      <c r="G5" s="4" t="inlineStr">
        <is>
          <t>[]</t>
        </is>
      </c>
      <c r="H5" s="4" t="inlineStr">
        <is>
          <t>[["cd(folder='document')", "mkdir(dir_name='temp')", "mv(source='final_report.pdf', destination='temp')"], ["cd(folder='temp')", "grep(file_name='final_report.pdf',pattern='budget analysis')"], ["sort('final_report.pdf')"], ["cd(folder='..')", "mv(source='previous_report.pdf',destination='temp')", "cd(folder='temp')", "diff(file_name1='final_report.pdf',file_name2='previous_report.pdf')"]]</t>
        </is>
      </c>
      <c r="I5" s="4" t="n">
        <v>14008.06</v>
      </c>
    </row>
    <row r="6">
      <c r="A6" s="2" t="inlineStr">
        <is>
          <t>memory</t>
        </is>
      </c>
      <c r="B6" s="2" t="inlineStr">
        <is>
          <t>memory_0-customer-0</t>
        </is>
      </c>
      <c r="C6" s="3" t="inlineStr">
        <is>
          <t>FAIL</t>
        </is>
      </c>
      <c r="D6" s="2" t="inlineStr">
        <is>
          <t>What is my first name?</t>
        </is>
      </c>
      <c r="E6" s="2" t="inlineStr">
        <is>
          <t>❌ Answer mismatch (Expected: ['Michael'])</t>
        </is>
      </c>
      <c r="F6" s="2" t="inlineStr">
        <is>
          <t xml:space="preserve">
Okay, the user is asking, "What is my first name?" Let me think about how to approach this.
First, I need to check the available functions to see if any can retrieve the user's first name. The user hasn't provided any parameters in their question, so I need to see if there's a function that can get this information without additional input. 
Looking at the functions provided, there's a function called 'getUserInfo' which might be relevant. The parameters for 'getUserInfo' are 'userId' and 'fields', where 'fields' is an array of strings specifying which user details to retrieve. However, the user hasn't provided a 'userId', so I can't use that unless I can assume the user is authenticated and the function can retrieve their own info without a userId. 
Wait, maybe the function is designed to get the current user's info if no userId is provided. But the parameters require 'userId' as a string. Since the user hasn't given a userId, I can't call 'getUserInfo' without it. 
Alternatively, maybe there's another function that directly gets the first name. But looking at the list, the only function related to user info is 'getUserInfo'. The other functions are for weather, math operations, and sending emails. None of those would help here.
So, the problem is that the user is asking for their first name, but the available functions require a userId to retrieve user information. Since the user hasn't provided their userId, I can't proceed. Therefore, I need to ask the user for their userId to use the 'getUserInfo' function and specify the 'firstName' field. 
Wait, but maybe the system is designed to automatically know the current user's ID. If that's the case, maybe the userId is optional, and if not provided, it defaults to the current user. However, according to the function's parameters, 'userId' is required. The description says 'userId (string) - The ID of the user to retrieve information for.' So it's a required parameter. 
Therefore, without the userId, I can't call the function. The correct response is to inform the user that I need their userId to retrieve their first name using the 'getUserInfo' function. Alternatively, if the system can infer the userId from the session, but based on the given functions, that's not specified. 
So, the answer is that I can't determine the user's first name without additional information, specifically their userId. Therefore, I should ask them to provide their userId so I can proceed.
</t>
        </is>
      </c>
      <c r="G6" s="2" t="inlineStr">
        <is>
          <t>[]</t>
        </is>
      </c>
      <c r="H6" s="2" t="inlineStr">
        <is>
          <t>["Michael"]</t>
        </is>
      </c>
      <c r="I6" s="2" t="n">
        <v>27317.8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35" customWidth="1" min="1" max="1"/>
    <col width="22" customWidth="1" min="2" max="2"/>
    <col width="55" customWidth="1" min="3" max="3"/>
  </cols>
  <sheetData>
    <row r="1">
      <c r="A1" s="1" t="inlineStr">
        <is>
          <t>지표 (Metric)</t>
        </is>
      </c>
      <c r="B1" s="1" t="inlineStr">
        <is>
          <t>값 (Value)</t>
        </is>
      </c>
      <c r="C1" s="1" t="inlineStr">
        <is>
          <t>설명 (Description)</t>
        </is>
      </c>
    </row>
    <row r="2">
      <c r="A2" s="6" t="inlineStr">
        <is>
          <t>테스트 모델 (Model)</t>
        </is>
      </c>
      <c r="B2" s="7" t="inlineStr">
        <is>
          <t>qwen/qwen3-14b</t>
        </is>
      </c>
      <c r="C2" s="6" t="inlineStr">
        <is>
          <t>평가에 사용된 LLM 모델</t>
        </is>
      </c>
    </row>
    <row r="3">
      <c r="A3" t="inlineStr">
        <is>
          <t xml:space="preserve"> </t>
        </is>
      </c>
      <c r="B3" t="inlineStr">
        <is>
          <t xml:space="preserve"> </t>
        </is>
      </c>
      <c r="C3" t="inlineStr">
        <is>
          <t xml:space="preserve"> </t>
        </is>
      </c>
    </row>
    <row r="4">
      <c r="A4" s="8" t="inlineStr">
        <is>
          <t>전체 정확도 (Overall Accuracy)</t>
        </is>
      </c>
      <c r="B4" s="9">
        <f>ROUND(AVERAGE(VALUE(LEFT(B12,FIND("%",B12)-1)),VALUE(LEFT(B13,FIND("%",B13)-1)),VALUE(LEFT(B14,FIND("%",B14)-1)),VALUE(LEFT(B15,FIND("%",B15)-1)),VALUE(LEFT(B16,FIND("%",B16)-1))),1)&amp;"%"</f>
        <v/>
      </c>
      <c r="C4" s="6" t="inlineStr">
        <is>
          <t>모든 카테고리의 비가중 평균 (BFCL 표준)</t>
        </is>
      </c>
    </row>
    <row r="5">
      <c r="A5" s="10" t="inlineStr">
        <is>
          <t>📊 점수 산출 공식</t>
        </is>
      </c>
      <c r="B5" s="11" t="inlineStr">
        <is>
          <t>Σ(Category Acc) / N</t>
        </is>
      </c>
      <c r="C5" s="10" t="inlineStr">
        <is>
          <t>N = 카테고리 수, 각 카테고리에 동일한 가중치 부여</t>
        </is>
      </c>
    </row>
    <row r="6">
      <c r="A6" t="inlineStr">
        <is>
          <t xml:space="preserve"> </t>
        </is>
      </c>
      <c r="B6" t="inlineStr">
        <is>
          <t xml:space="preserve"> </t>
        </is>
      </c>
      <c r="C6" t="inlineStr">
        <is>
          <t xml:space="preserve"> </t>
        </is>
      </c>
    </row>
    <row r="7">
      <c r="A7" s="12" t="inlineStr">
        <is>
          <t>━━━ 그룹별 점수 (Group Scores) ━━━</t>
        </is>
      </c>
      <c r="B7" s="13" t="inlineStr">
        <is>
          <t xml:space="preserve"> </t>
        </is>
      </c>
      <c r="C7" s="14" t="inlineStr">
        <is>
          <t xml:space="preserve"> </t>
        </is>
      </c>
    </row>
    <row r="8">
      <c r="A8" s="6" t="inlineStr">
        <is>
          <t>AGENTIC (에이전트 기능)</t>
        </is>
      </c>
      <c r="B8" s="7">
        <f>VALUE(LEFT(B16,FIND("%",B16)-1))&amp;"%"</f>
        <v/>
      </c>
      <c r="C8" s="6" t="inlineStr">
        <is>
          <t>AGENTIC 그룹 내 카테고리들의 평균 정확도</t>
        </is>
      </c>
    </row>
    <row r="9">
      <c r="A9" s="10" t="inlineStr">
        <is>
          <t>MULTI_TURN (멀티턴 대화)</t>
        </is>
      </c>
      <c r="B9" s="11">
        <f>ROUND(AVERAGE(VALUE(LEFT(B12,FIND("%",B12)-1)),VALUE(LEFT(B13,FIND("%",B13)-1)),VALUE(LEFT(B14,FIND("%",B14)-1)),VALUE(LEFT(B15,FIND("%",B15)-1))),1)&amp;"%"</f>
        <v/>
      </c>
      <c r="C9" s="10" t="inlineStr">
        <is>
          <t>MULTI_TURN 그룹 내 카테고리들의 평균 정확도</t>
        </is>
      </c>
    </row>
    <row r="10">
      <c r="A10" t="inlineStr">
        <is>
          <t xml:space="preserve"> </t>
        </is>
      </c>
      <c r="B10" t="inlineStr">
        <is>
          <t xml:space="preserve"> </t>
        </is>
      </c>
      <c r="C10" t="inlineStr">
        <is>
          <t xml:space="preserve"> </t>
        </is>
      </c>
    </row>
    <row r="11">
      <c r="A11" s="12" t="inlineStr">
        <is>
          <t>━━━ 카테고리별 점수 (Category Scores) ━━━</t>
        </is>
      </c>
      <c r="B11" s="13" t="inlineStr">
        <is>
          <t xml:space="preserve"> </t>
        </is>
      </c>
      <c r="C11" s="14" t="inlineStr">
        <is>
          <t xml:space="preserve"> </t>
        </is>
      </c>
    </row>
    <row r="12">
      <c r="A12" s="6" t="inlineStr">
        <is>
          <t>multi_turn_base (멀티턴 기본)</t>
        </is>
      </c>
      <c r="B12" s="7">
        <f>IF(COUNTA('Detailed Results'!C2:C2)=0,0,ROUND(COUNTIF('Detailed Results'!C2:C2,"PASS")/COUNTA('Detailed Results'!C2:C2)*100,1))&amp;"%"&amp;" ("&amp;COUNTIF('Detailed Results'!C2:C2,"PASS")&amp;"/"&amp;COUNTA('Detailed Results'!C2:C2)&amp;")"</f>
        <v/>
      </c>
      <c r="C12" s="6" t="inlineStr">
        <is>
          <t>그룹: MULTI_TURN, 수식 자동 계산</t>
        </is>
      </c>
    </row>
    <row r="13">
      <c r="A13" s="10" t="inlineStr">
        <is>
          <t>multi_turn_miss_func (멀티턴 함수누락)</t>
        </is>
      </c>
      <c r="B13" s="11">
        <f>IF(COUNTA('Detailed Results'!C3:C3)=0,0,ROUND(COUNTIF('Detailed Results'!C3:C3,"PASS")/COUNTA('Detailed Results'!C3:C3)*100,1))&amp;"%"&amp;" ("&amp;COUNTIF('Detailed Results'!C3:C3,"PASS")&amp;"/"&amp;COUNTA('Detailed Results'!C3:C3)&amp;")"</f>
        <v/>
      </c>
      <c r="C13" s="10" t="inlineStr">
        <is>
          <t>그룹: MULTI_TURN, 수식 자동 계산</t>
        </is>
      </c>
    </row>
    <row r="14">
      <c r="A14" s="6" t="inlineStr">
        <is>
          <t>multi_turn_miss_param (멀티턴 파라미터누락)</t>
        </is>
      </c>
      <c r="B14" s="7">
        <f>IF(COUNTA('Detailed Results'!C4:C4)=0,0,ROUND(COUNTIF('Detailed Results'!C4:C4,"PASS")/COUNTA('Detailed Results'!C4:C4)*100,1))&amp;"%"&amp;" ("&amp;COUNTIF('Detailed Results'!C4:C4,"PASS")&amp;"/"&amp;COUNTA('Detailed Results'!C4:C4)&amp;")"</f>
        <v/>
      </c>
      <c r="C14" s="6" t="inlineStr">
        <is>
          <t>그룹: MULTI_TURN, 수식 자동 계산</t>
        </is>
      </c>
    </row>
    <row r="15">
      <c r="A15" s="10" t="inlineStr">
        <is>
          <t>multi_turn_long_context (멀티턴 긴컨텍스트)</t>
        </is>
      </c>
      <c r="B15" s="11">
        <f>IF(COUNTA('Detailed Results'!C5:C5)=0,0,ROUND(COUNTIF('Detailed Results'!C5:C5,"PASS")/COUNTA('Detailed Results'!C5:C5)*100,1))&amp;"%"&amp;" ("&amp;COUNTIF('Detailed Results'!C5:C5,"PASS")&amp;"/"&amp;COUNTA('Detailed Results'!C5:C5)&amp;")"</f>
        <v/>
      </c>
      <c r="C15" s="10" t="inlineStr">
        <is>
          <t>그룹: MULTI_TURN, 수식 자동 계산</t>
        </is>
      </c>
    </row>
    <row r="16">
      <c r="A16" s="6" t="inlineStr">
        <is>
          <t>memory (메모리 관리)</t>
        </is>
      </c>
      <c r="B16" s="7">
        <f>IF(COUNTA('Detailed Results'!C6:C6)=0,0,ROUND(COUNTIF('Detailed Results'!C6:C6,"PASS")/COUNTA('Detailed Results'!C6:C6)*100,1))&amp;"%"&amp;" ("&amp;COUNTIF('Detailed Results'!C6:C6,"PASS")&amp;"/"&amp;COUNTA('Detailed Results'!C6:C6)&amp;")"</f>
        <v/>
      </c>
      <c r="C16" s="6" t="inlineStr">
        <is>
          <t>그룹: AGENTIC, 수식 자동 계산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20" customWidth="1" min="3" max="3"/>
    <col width="14" customWidth="1" min="4" max="4"/>
    <col width="60" customWidth="1" min="5" max="5"/>
  </cols>
  <sheetData>
    <row r="1">
      <c r="A1" s="15" t="inlineStr">
        <is>
          <t>카테고리 (Category)</t>
        </is>
      </c>
      <c r="B1" s="15" t="inlineStr">
        <is>
          <t>전체 개수
(Total Count)</t>
        </is>
      </c>
      <c r="C1" s="15" t="inlineStr">
        <is>
          <t>그룹
(Group)</t>
        </is>
      </c>
      <c r="D1" s="15" t="inlineStr">
        <is>
          <t>난이도
(Difficulty)</t>
        </is>
      </c>
      <c r="E1" s="15" t="inlineStr">
        <is>
          <t>설명 (Description)</t>
        </is>
      </c>
    </row>
    <row r="2">
      <c r="A2" s="6" t="inlineStr">
        <is>
          <t>simple_python
(단일 Python)</t>
        </is>
      </c>
      <c r="B2" s="7" t="n">
        <v>399</v>
      </c>
      <c r="C2" s="6" t="inlineStr">
        <is>
          <t>AST_NON_LIVE</t>
        </is>
      </c>
      <c r="D2" s="7" t="inlineStr">
        <is>
          <t>⭐</t>
        </is>
      </c>
      <c r="E2" s="6" t="inlineStr">
        <is>
          <t>기본 파라미터를 가진 단일 Python 함수 호출 | Single Python function call with basic parameters</t>
        </is>
      </c>
    </row>
    <row r="3">
      <c r="A3" s="10" t="inlineStr">
        <is>
          <t>simple_javascript
(단일 JavaScript)</t>
        </is>
      </c>
      <c r="B3" s="11" t="n">
        <v>49</v>
      </c>
      <c r="C3" s="10" t="inlineStr">
        <is>
          <t>AST_NON_LIVE</t>
        </is>
      </c>
      <c r="D3" s="11" t="inlineStr">
        <is>
          <t>⭐</t>
        </is>
      </c>
      <c r="E3" s="10" t="inlineStr">
        <is>
          <t>기본 파라미터를 가진 단일 JavaScript 함수 호출 | Single JavaScript function call with basic parameters</t>
        </is>
      </c>
    </row>
    <row r="4">
      <c r="A4" s="6" t="inlineStr">
        <is>
          <t>simple_java
(단일 Java)</t>
        </is>
      </c>
      <c r="B4" s="7" t="n">
        <v>99</v>
      </c>
      <c r="C4" s="6" t="inlineStr">
        <is>
          <t>AST_NON_LIVE</t>
        </is>
      </c>
      <c r="D4" s="7" t="inlineStr">
        <is>
          <t>⭐</t>
        </is>
      </c>
      <c r="E4" s="6" t="inlineStr">
        <is>
          <t>기본 파라미터를 가진 단일 Java 함수 호출 | Single Java function call with basic parameters</t>
        </is>
      </c>
    </row>
    <row r="5">
      <c r="A5" s="10" t="inlineStr">
        <is>
          <t>multiple
(다중 파라미터)</t>
        </is>
      </c>
      <c r="B5" s="11" t="n">
        <v>199</v>
      </c>
      <c r="C5" s="10" t="inlineStr">
        <is>
          <t>AST_NON_LIVE</t>
        </is>
      </c>
      <c r="D5" s="11" t="inlineStr">
        <is>
          <t>⭐⭐</t>
        </is>
      </c>
      <c r="E5" s="10" t="inlineStr">
        <is>
          <t>단일 함수에 여러 파라미터 전달 | Multiple parameters in single function call</t>
        </is>
      </c>
    </row>
    <row r="6">
      <c r="A6" s="6" t="inlineStr">
        <is>
          <t>parallel
(병렬 호출)</t>
        </is>
      </c>
      <c r="B6" s="7" t="n">
        <v>199</v>
      </c>
      <c r="C6" s="6" t="inlineStr">
        <is>
          <t>AST_NON_LIVE</t>
        </is>
      </c>
      <c r="D6" s="7" t="inlineStr">
        <is>
          <t>⭐⭐</t>
        </is>
      </c>
      <c r="E6" s="6" t="inlineStr">
        <is>
          <t>여러 함수를 병렬로 호출 (순서 무시) | Multiple functions called in parallel (order-independent)</t>
        </is>
      </c>
    </row>
    <row r="7">
      <c r="A7" s="10" t="inlineStr">
        <is>
          <t>parallel_multiple
(병렬 다중)</t>
        </is>
      </c>
      <c r="B7" s="11" t="n">
        <v>199</v>
      </c>
      <c r="C7" s="10" t="inlineStr">
        <is>
          <t>AST_NON_LIVE</t>
        </is>
      </c>
      <c r="D7" s="11" t="inlineStr">
        <is>
          <t>⭐⭐⭐</t>
        </is>
      </c>
      <c r="E7" s="10" t="inlineStr">
        <is>
          <t>여러 함수를 다중 파라미터로 병렬 호출 (순서 무시) | Multiple functions with multiple parameters in parallel (order-independent)</t>
        </is>
      </c>
    </row>
    <row r="8">
      <c r="A8" s="6" t="inlineStr">
        <is>
          <t>live_simple
(실행 단일)</t>
        </is>
      </c>
      <c r="B8" s="7" t="n">
        <v>257</v>
      </c>
      <c r="C8" s="6" t="inlineStr">
        <is>
          <t>AST_LIVE</t>
        </is>
      </c>
      <c r="D8" s="7" t="inlineStr">
        <is>
          <t>⭐⭐</t>
        </is>
      </c>
      <c r="E8" s="6" t="inlineStr">
        <is>
          <t>실제 API를 사용한 단순 함수 호출 | Simple function calls using live/real APIs</t>
        </is>
      </c>
    </row>
    <row r="9">
      <c r="A9" s="10" t="inlineStr">
        <is>
          <t>live_multiple
(실행 다중)</t>
        </is>
      </c>
      <c r="B9" s="11" t="n">
        <v>1052</v>
      </c>
      <c r="C9" s="10" t="inlineStr">
        <is>
          <t>AST_LIVE</t>
        </is>
      </c>
      <c r="D9" s="11" t="inlineStr">
        <is>
          <t>⭐⭐</t>
        </is>
      </c>
      <c r="E9" s="10" t="inlineStr">
        <is>
          <t>실제 API에 다중 파라미터 함수 | Multiple parameter functions with live APIs</t>
        </is>
      </c>
    </row>
    <row r="10">
      <c r="A10" s="6" t="inlineStr">
        <is>
          <t>live_parallel
(실행 병렬)</t>
        </is>
      </c>
      <c r="B10" s="7" t="n">
        <v>15</v>
      </c>
      <c r="C10" s="6" t="inlineStr">
        <is>
          <t>AST_LIVE</t>
        </is>
      </c>
      <c r="D10" s="7" t="inlineStr">
        <is>
          <t>⭐⭐⭐</t>
        </is>
      </c>
      <c r="E10" s="6" t="inlineStr">
        <is>
          <t>실제 API 병렬 함수 호출 (순서 무시) | Parallel function calls with live APIs (order-independent)</t>
        </is>
      </c>
    </row>
    <row r="11">
      <c r="A11" s="10" t="inlineStr">
        <is>
          <t>live_parallel_multiple
(실행 병렬 다중)</t>
        </is>
      </c>
      <c r="B11" s="11" t="n">
        <v>23</v>
      </c>
      <c r="C11" s="10" t="inlineStr">
        <is>
          <t>AST_LIVE</t>
        </is>
      </c>
      <c r="D11" s="11" t="inlineStr">
        <is>
          <t>⭐⭐⭐</t>
        </is>
      </c>
      <c r="E11" s="10" t="inlineStr">
        <is>
          <t>실제 API 복잡한 병렬 호출 (순서 무시) | Complex parallel calls with live APIs (order-independent)</t>
        </is>
      </c>
    </row>
    <row r="12">
      <c r="A12" s="6" t="inlineStr">
        <is>
          <t>multi_turn_base
(멀티턴 기본)</t>
        </is>
      </c>
      <c r="B12" s="7" t="n">
        <v>200</v>
      </c>
      <c r="C12" s="6" t="inlineStr">
        <is>
          <t>MULTI_TURN</t>
        </is>
      </c>
      <c r="D12" s="7" t="inlineStr">
        <is>
          <t>⭐⭐⭐</t>
        </is>
      </c>
      <c r="E12" s="6" t="inlineStr">
        <is>
          <t>기본 멀티턴 대화형 함수 호출 | Basic multi-turn conversational function calling</t>
        </is>
      </c>
    </row>
    <row r="13">
      <c r="A13" s="10" t="inlineStr">
        <is>
          <t>multi_turn_miss_func
(멀티턴 함수누락)</t>
        </is>
      </c>
      <c r="B13" s="11" t="n">
        <v>200</v>
      </c>
      <c r="C13" s="10" t="inlineStr">
        <is>
          <t>MULTI_TURN</t>
        </is>
      </c>
      <c r="D13" s="11" t="inlineStr">
        <is>
          <t>⭐⭐⭐</t>
        </is>
      </c>
      <c r="E13" s="10" t="inlineStr">
        <is>
          <t>함수 누락 처리가 필요한 멀티턴 | Multi-turn with missing function handling</t>
        </is>
      </c>
    </row>
    <row r="14">
      <c r="A14" s="6" t="inlineStr">
        <is>
          <t>multi_turn_miss_param
(멀티턴 파라미터누락)</t>
        </is>
      </c>
      <c r="B14" s="7" t="n">
        <v>200</v>
      </c>
      <c r="C14" s="6" t="inlineStr">
        <is>
          <t>MULTI_TURN</t>
        </is>
      </c>
      <c r="D14" s="7" t="inlineStr">
        <is>
          <t>⭐⭐⭐</t>
        </is>
      </c>
      <c r="E14" s="6" t="inlineStr">
        <is>
          <t>파라미터 누락 처리가 필요한 멀티턴 | Multi-turn with missing parameter handling</t>
        </is>
      </c>
    </row>
    <row r="15">
      <c r="A15" s="10" t="inlineStr">
        <is>
          <t>multi_turn_long_context
(멀티턴 긴컨텍스트)</t>
        </is>
      </c>
      <c r="B15" s="11" t="n">
        <v>200</v>
      </c>
      <c r="C15" s="10" t="inlineStr">
        <is>
          <t>MULTI_TURN</t>
        </is>
      </c>
      <c r="D15" s="11" t="inlineStr">
        <is>
          <t>⭐⭐⭐⭐</t>
        </is>
      </c>
      <c r="E15" s="10" t="inlineStr">
        <is>
          <t>긴 컨텍스트가 필요한 멀티턴 | Multi-turn with extended context requirements</t>
        </is>
      </c>
    </row>
    <row r="16">
      <c r="A16" s="6" t="inlineStr">
        <is>
          <t>irrelevance
(관련없음 탐지)</t>
        </is>
      </c>
      <c r="B16" s="7" t="n">
        <v>239</v>
      </c>
      <c r="C16" s="6" t="inlineStr">
        <is>
          <t>RELEVANCE</t>
        </is>
      </c>
      <c r="D16" s="7" t="inlineStr">
        <is>
          <t>⭐⭐</t>
        </is>
      </c>
      <c r="E16" s="6" t="inlineStr">
        <is>
          <t>함수를 호출하지 말아야 할 때 탐지 | Detecting when NOT to call any function</t>
        </is>
      </c>
    </row>
    <row r="17">
      <c r="A17" s="10" t="inlineStr">
        <is>
          <t>live_irrelevance
(실행 관련없음)</t>
        </is>
      </c>
      <c r="B17" s="11" t="n">
        <v>884</v>
      </c>
      <c r="C17" s="10" t="inlineStr">
        <is>
          <t>RELEVANCE</t>
        </is>
      </c>
      <c r="D17" s="11" t="inlineStr">
        <is>
          <t>⭐⭐</t>
        </is>
      </c>
      <c r="E17" s="10" t="inlineStr">
        <is>
          <t>실제 API에서 관련없는 함수 호출 회피 | Avoiding irrelevant function calls with live APIs</t>
        </is>
      </c>
    </row>
    <row r="18">
      <c r="A18" s="6" t="inlineStr">
        <is>
          <t>live_relevance
(실행 관련성)</t>
        </is>
      </c>
      <c r="B18" s="7" t="n">
        <v>16</v>
      </c>
      <c r="C18" s="6" t="inlineStr">
        <is>
          <t>RELEVANCE</t>
        </is>
      </c>
      <c r="D18" s="7" t="inlineStr">
        <is>
          <t>⭐⭐</t>
        </is>
      </c>
      <c r="E18" s="6" t="inlineStr">
        <is>
          <t>실제 API에서 관련 있는 함수 탐지 | Detecting relevant functions with live APIs</t>
        </is>
      </c>
    </row>
    <row r="19">
      <c r="A19" s="10" t="inlineStr">
        <is>
          <t>web_search
(웹 검색)</t>
        </is>
      </c>
      <c r="B19" s="11" t="n">
        <v>99</v>
      </c>
      <c r="C19" s="10" t="inlineStr">
        <is>
          <t>AGENTIC</t>
        </is>
      </c>
      <c r="D19" s="11" t="inlineStr">
        <is>
          <t>⭐⭐⭐</t>
        </is>
      </c>
      <c r="E19" s="10" t="inlineStr">
        <is>
          <t>웹 검색 에이전트 기능 | Web search agent capabilities</t>
        </is>
      </c>
    </row>
    <row r="20">
      <c r="A20" s="6" t="inlineStr">
        <is>
          <t>memory
(메모리 관리)</t>
        </is>
      </c>
      <c r="B20" s="7" t="n">
        <v>155</v>
      </c>
      <c r="C20" s="6" t="inlineStr">
        <is>
          <t>AGENTIC</t>
        </is>
      </c>
      <c r="D20" s="7" t="inlineStr">
        <is>
          <t>⭐⭐⭐</t>
        </is>
      </c>
      <c r="E20" s="6" t="inlineStr">
        <is>
          <t>대화 메모리 관리 및 컨텍스트 유지 | Memory management and context retention</t>
        </is>
      </c>
    </row>
    <row r="21">
      <c r="A21" s="10" t="inlineStr">
        <is>
          <t>format_sensitivity
(포맷 민감도)</t>
        </is>
      </c>
      <c r="B21" s="11" t="n">
        <v>9</v>
      </c>
      <c r="C21" s="10" t="inlineStr">
        <is>
          <t>AGENTIC</t>
        </is>
      </c>
      <c r="D21" s="11" t="inlineStr">
        <is>
          <t>⭐⭐</t>
        </is>
      </c>
      <c r="E21" s="10" t="inlineStr">
        <is>
          <t>다양한 입력 포맷에 대한 민감도 | Sensitivity to various input formats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32" customWidth="1" min="1" max="1"/>
    <col width="85" customWidth="1" min="2" max="2"/>
  </cols>
  <sheetData>
    <row r="1">
      <c r="A1" s="1" t="inlineStr">
        <is>
          <t>구분 (Section)</t>
        </is>
      </c>
      <c r="B1" s="1" t="inlineStr">
        <is>
          <t>내용 (Content)</t>
        </is>
      </c>
    </row>
    <row r="2">
      <c r="A2" s="6" t="inlineStr">
        <is>
          <t>📊 BFCL 공식 (Official)</t>
        </is>
      </c>
      <c r="B2" s="6" t="inlineStr">
        <is>
          <t>Berkeley Function Calling Leaderboard (BFCL)</t>
        </is>
      </c>
    </row>
    <row r="3">
      <c r="A3" s="10" t="inlineStr">
        <is>
          <t>🌐 웹사이트 (Website)</t>
        </is>
      </c>
      <c r="B3" s="10" t="inlineStr">
        <is>
          <t>https://gorilla.cs.berkeley.edu/leaderboard.html</t>
        </is>
      </c>
    </row>
    <row r="4">
      <c r="A4" s="6" t="inlineStr">
        <is>
          <t>💻 GitHub</t>
        </is>
      </c>
      <c r="B4" s="6" t="inlineStr">
        <is>
          <t>https://github.com/ShishirPatil/gorilla/tree/main/berkeley-function-call-leaderboard</t>
        </is>
      </c>
    </row>
    <row r="5">
      <c r="A5" s="10" t="inlineStr">
        <is>
          <t>📁 Dataset</t>
        </is>
      </c>
      <c r="B5" s="10" t="inlineStr">
        <is>
          <t>https://huggingface.co/datasets/gorilla-llm/Berkeley-Function-Calling-Leaderboard</t>
        </is>
      </c>
    </row>
    <row r="6">
      <c r="A6" t="inlineStr">
        <is>
          <t xml:space="preserve"> </t>
        </is>
      </c>
      <c r="B6" t="inlineStr">
        <is>
          <t xml:space="preserve"> </t>
        </is>
      </c>
    </row>
    <row r="7">
      <c r="A7" s="12" t="inlineStr">
        <is>
          <t>━━━ 평가 방법 (Evaluation Methods) ━━━</t>
        </is>
      </c>
      <c r="B7" s="14" t="inlineStr">
        <is>
          <t xml:space="preserve"> </t>
        </is>
      </c>
    </row>
    <row r="8">
      <c r="A8" s="6" t="inlineStr">
        <is>
          <t>🌳 AST 평가</t>
        </is>
      </c>
      <c r="B8" s="6" t="inlineStr">
        <is>
          <t>추상 구문 트리 비교 (Abstract Syntax Tree comparison for structural correctness)</t>
        </is>
      </c>
    </row>
    <row r="9">
      <c r="A9" s="10" t="inlineStr">
        <is>
          <t>⚙️ 실행 평가</t>
        </is>
      </c>
      <c r="B9" s="10" t="inlineStr">
        <is>
          <t>REST API 및 Python 함수 실제 실행 (Actual execution for REST APIs and Python functions)</t>
        </is>
      </c>
    </row>
    <row r="10">
      <c r="A10" s="6" t="inlineStr">
        <is>
          <t>✅ 관련성 탐지</t>
        </is>
      </c>
      <c r="B10" s="6" t="inlineStr">
        <is>
          <t>관련 없는 함수 호출 회피 능력 (Ability to avoid irrelevant function calls)</t>
        </is>
      </c>
    </row>
    <row r="11">
      <c r="A11" s="10" t="inlineStr">
        <is>
          <t>🔀 병렬 호출 순서</t>
        </is>
      </c>
      <c r="B11" s="10" t="inlineStr">
        <is>
          <t>BFCL 표준: 병렬(parallel) 카테고리는 호출 순서 무시. 집합처럼 매칭 (Order-independent matching for parallel function calls)</t>
        </is>
      </c>
    </row>
    <row r="12">
      <c r="A12" t="inlineStr">
        <is>
          <t xml:space="preserve"> </t>
        </is>
      </c>
      <c r="B12" t="inlineStr">
        <is>
          <t xml:space="preserve"> </t>
        </is>
      </c>
    </row>
    <row r="13">
      <c r="A13" s="12" t="inlineStr">
        <is>
          <t>━━━ 점수 산출 (Scoring) ━━━</t>
        </is>
      </c>
      <c r="B13" s="14" t="inlineStr">
        <is>
          <t xml:space="preserve"> </t>
        </is>
      </c>
    </row>
    <row r="14">
      <c r="A14" s="6" t="inlineStr">
        <is>
          <t>📈 전체 정확도</t>
        </is>
      </c>
      <c r="B14" s="6" t="inlineStr">
        <is>
          <t>Overall Accuracy = Σ(Category Accuracy) / N (모든 카테고리의 비가중 평균)</t>
        </is>
      </c>
    </row>
    <row r="15">
      <c r="A15" s="10" t="inlineStr">
        <is>
          <t>📊 카테고리 정확도</t>
        </is>
      </c>
      <c r="B15" s="10" t="inlineStr">
        <is>
          <t>Category Accuracy = (PASS count / Total count) × 100%</t>
        </is>
      </c>
    </row>
    <row r="16">
      <c r="A16" s="6" t="inlineStr">
        <is>
          <t>📂 그룹 정확도</t>
        </is>
      </c>
      <c r="B16" s="6" t="inlineStr">
        <is>
          <t>Group Accuracy = 동일 그룹 내 카테고리들의 평균 (Average of categories within same group)</t>
        </is>
      </c>
    </row>
    <row r="17">
      <c r="A17" t="inlineStr">
        <is>
          <t xml:space="preserve"> </t>
        </is>
      </c>
      <c r="B17" t="inlineStr">
        <is>
          <t xml:space="preserve"> </t>
        </is>
      </c>
    </row>
    <row r="18">
      <c r="A18" s="12" t="inlineStr">
        <is>
          <t>━━━ 논문 (Papers) ━━━</t>
        </is>
      </c>
      <c r="B18" s="14" t="inlineStr">
        <is>
          <t xml:space="preserve"> </t>
        </is>
      </c>
    </row>
    <row r="19">
      <c r="A19" s="10" t="inlineStr">
        <is>
          <t>📄 BFCL v1</t>
        </is>
      </c>
      <c r="B19" s="10" t="inlineStr">
        <is>
          <t>AST 평가 메트릭 도입 (Introducing AST evaluation metric)</t>
        </is>
      </c>
    </row>
    <row r="20">
      <c r="A20" s="6" t="inlineStr">
        <is>
          <t>📄 BFCL v2</t>
        </is>
      </c>
      <c r="B20" s="6" t="inlineStr">
        <is>
          <t>기업 및 OSS 기여 함수 (Enterprise and OSS-contributed functions)</t>
        </is>
      </c>
    </row>
    <row r="21">
      <c r="A21" s="10" t="inlineStr">
        <is>
          <t>📄 BFCL v3</t>
        </is>
      </c>
      <c r="B21" s="10" t="inlineStr">
        <is>
          <t>멀티턴 상호작용 (Multi-turn interactions)</t>
        </is>
      </c>
    </row>
    <row r="22">
      <c r="A22" s="6" t="inlineStr">
        <is>
          <t>📄 BFCL v4</t>
        </is>
      </c>
      <c r="B22" s="6" t="inlineStr">
        <is>
          <t>종합적 에이전트 평가 (Holistic agentic evaluation)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2026-01-21T07:03:24Z</dcterms:created>
  <dcterms:modified xmlns:dcterms="http://purl.org/dc/terms/" xmlns:xsi="http://www.w3.org/2001/XMLSchema-instance" xsi:type="dcterms:W3CDTF">2026-01-21T07:03:24Z</dcterms:modified>
</cp:coreProperties>
</file>