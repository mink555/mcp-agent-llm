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Summary (BFCL)" sheetId="2" state="visible" r:id="rId2"/>
    <sheet xmlns:r="http://schemas.openxmlformats.org/officeDocument/2006/relationships" name="Dataset Info" sheetId="3" state="visible" r:id="rId3"/>
    <sheet xmlns:r="http://schemas.openxmlformats.org/officeDocument/2006/relationships" name="Reference"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2E7D32"/>
    </font>
    <font>
      <b val="1"/>
      <color rgb="00D32F2F"/>
    </font>
    <font>
      <b val="1"/>
      <sz val="11"/>
    </font>
    <font>
      <b val="1"/>
      <color rgb="002E7D32"/>
      <sz val="12"/>
    </font>
    <font>
      <b val="1"/>
      <color rgb="00333333"/>
    </font>
  </fonts>
  <fills count="5">
    <fill>
      <patternFill/>
    </fill>
    <fill>
      <patternFill patternType="gray125"/>
    </fill>
    <fill>
      <patternFill patternType="solid">
        <fgColor rgb="00F2F2F2"/>
        <bgColor rgb="00F2F2F2"/>
      </patternFill>
    </fill>
    <fill>
      <patternFill patternType="solid">
        <fgColor rgb="00FAFAFA"/>
        <bgColor rgb="00FAFAFA"/>
      </patternFill>
    </fill>
    <fill>
      <patternFill patternType="solid">
        <fgColor rgb="00E7E6E6"/>
        <bgColor rgb="00E7E6E6"/>
      </patternFill>
    </fill>
  </fills>
  <borders count="3">
    <border>
      <left/>
      <right/>
      <top/>
      <bottom/>
      <diagonal/>
    </border>
    <border>
      <left style="thin"/>
      <right style="thin"/>
      <top style="thin"/>
      <bottom style="thin"/>
    </border>
    <border>
      <left style="thin">
        <color rgb="00E0E0E0"/>
      </left>
      <right style="thin">
        <color rgb="00E0E0E0"/>
      </right>
      <top style="thin">
        <color rgb="00E0E0E0"/>
      </top>
      <bottom style="thin">
        <color rgb="00E0E0E0"/>
      </bottom>
    </border>
  </borders>
  <cellStyleXfs count="1">
    <xf numFmtId="0" fontId="0" fillId="0" borderId="0"/>
  </cellStyleXfs>
  <cellXfs count="18">
    <xf numFmtId="0" fontId="0" fillId="0" borderId="0" pivotButton="0" quotePrefix="0" xfId="0"/>
    <xf numFmtId="0" fontId="1" fillId="2" borderId="2" applyAlignment="1" pivotButton="0" quotePrefix="0" xfId="0">
      <alignment horizontal="center" vertical="center"/>
    </xf>
    <xf numFmtId="0" fontId="0" fillId="3" borderId="2" applyAlignment="1" pivotButton="0" quotePrefix="0" xfId="0">
      <alignment vertical="top" wrapText="1" indent="1"/>
    </xf>
    <xf numFmtId="0" fontId="2" fillId="3" borderId="2" applyAlignment="1" pivotButton="0" quotePrefix="0" xfId="0">
      <alignment horizontal="center" vertical="center"/>
    </xf>
    <xf numFmtId="0" fontId="0" fillId="0" borderId="2" applyAlignment="1" pivotButton="0" quotePrefix="0" xfId="0">
      <alignment vertical="top" wrapText="1" indent="1"/>
    </xf>
    <xf numFmtId="0" fontId="2" fillId="0" borderId="2" applyAlignment="1" pivotButton="0" quotePrefix="0" xfId="0">
      <alignment horizontal="center" vertical="center"/>
    </xf>
    <xf numFmtId="0" fontId="3" fillId="0" borderId="2" applyAlignment="1" pivotButton="0" quotePrefix="0" xfId="0">
      <alignment horizontal="center" vertical="center"/>
    </xf>
    <xf numFmtId="0" fontId="3" fillId="3" borderId="2" applyAlignment="1" pivotButton="0" quotePrefix="0" xfId="0">
      <alignment horizontal="center" vertical="center"/>
    </xf>
    <xf numFmtId="0" fontId="0" fillId="3" borderId="2" applyAlignment="1" pivotButton="0" quotePrefix="0" xfId="0">
      <alignment vertical="center" wrapText="1" indent="1"/>
    </xf>
    <xf numFmtId="0" fontId="0" fillId="3" borderId="2" applyAlignment="1" pivotButton="0" quotePrefix="0" xfId="0">
      <alignment horizontal="center" vertical="center"/>
    </xf>
    <xf numFmtId="0" fontId="4" fillId="3" borderId="2" applyAlignment="1" pivotButton="0" quotePrefix="0" xfId="0">
      <alignment vertical="center" wrapText="1" indent="1"/>
    </xf>
    <xf numFmtId="0" fontId="5" fillId="3" borderId="2" applyAlignment="1" pivotButton="0" quotePrefix="0" xfId="0">
      <alignment horizontal="center" vertical="center"/>
    </xf>
    <xf numFmtId="0" fontId="0" fillId="0" borderId="2" applyAlignment="1" pivotButton="0" quotePrefix="0" xfId="0">
      <alignment vertical="center" wrapText="1" indent="1"/>
    </xf>
    <xf numFmtId="0" fontId="0" fillId="0" borderId="2" applyAlignment="1" pivotButton="0" quotePrefix="0" xfId="0">
      <alignment horizontal="center" vertical="center"/>
    </xf>
    <xf numFmtId="0" fontId="6" fillId="4" borderId="2" applyAlignment="1" pivotButton="0" quotePrefix="0" xfId="0">
      <alignment vertical="center" wrapText="1" indent="1"/>
    </xf>
    <xf numFmtId="0" fontId="0" fillId="4" borderId="2" applyAlignment="1" pivotButton="0" quotePrefix="0" xfId="0">
      <alignment horizontal="center" vertical="center"/>
    </xf>
    <xf numFmtId="0" fontId="0" fillId="4" borderId="2" applyAlignment="1" pivotButton="0" quotePrefix="0" xfId="0">
      <alignment vertical="center" wrapText="1" indent="1"/>
    </xf>
    <xf numFmtId="0" fontId="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0" customWidth="1" min="3" max="3"/>
    <col width="40" customWidth="1" min="4" max="4"/>
    <col width="30" customWidth="1" min="5" max="5"/>
    <col width="30" customWidth="1" min="6" max="6"/>
    <col width="30" customWidth="1" min="7" max="7"/>
    <col width="30" customWidth="1" min="8" max="8"/>
    <col width="15" customWidth="1" min="9" max="9"/>
  </cols>
  <sheetData>
    <row r="1">
      <c r="A1" s="1" t="inlineStr">
        <is>
          <t>카테고리</t>
        </is>
      </c>
      <c r="B1" s="1" t="inlineStr">
        <is>
          <t>ID</t>
        </is>
      </c>
      <c r="C1" s="1" t="inlineStr">
        <is>
          <t>결과</t>
        </is>
      </c>
      <c r="D1" s="1" t="inlineStr">
        <is>
          <t>질문</t>
        </is>
      </c>
      <c r="E1" s="1" t="inlineStr">
        <is>
          <t>검증 상세</t>
        </is>
      </c>
      <c r="F1" s="1" t="inlineStr">
        <is>
          <t>사고과정</t>
        </is>
      </c>
      <c r="G1" s="1" t="inlineStr">
        <is>
          <t>누적 호출(AST)</t>
        </is>
      </c>
      <c r="H1" s="1" t="inlineStr">
        <is>
          <t>정답(GT)</t>
        </is>
      </c>
      <c r="I1" s="1" t="inlineStr">
        <is>
          <t>Latency</t>
        </is>
      </c>
    </row>
    <row r="2">
      <c r="A2" s="2" t="inlineStr">
        <is>
          <t>simple_python</t>
        </is>
      </c>
      <c r="B2" s="2" t="inlineStr">
        <is>
          <t>simple_python_0</t>
        </is>
      </c>
      <c r="C2" s="3" t="inlineStr">
        <is>
          <t>PASS</t>
        </is>
      </c>
      <c r="D2" s="2" t="inlineStr">
        <is>
          <t>Find the area of a triangle with a base of 10 units and height of 5 units.</t>
        </is>
      </c>
      <c r="E2" s="2" t="inlineStr">
        <is>
          <t>Step 0: ✅ OK</t>
        </is>
      </c>
      <c r="F2" s="2" t="inlineStr">
        <is>
          <t xml:space="preserve">
Okay, let's see. The user wants to find the area of a triangle. The problem states a base of 10 units and a height of 5 units. I remember the formula for the area of a triangle is (base * height) / 2. The tools provided include a function called calculate_triangle_area. Let me check the parameters it requires. The function needs base and height as integers, and an optional unit which defaults to 'units'. The user provided both base and height, so I should call the function with those values. Since the unit is already specified as 'units' in the question, maybe I can omit it, but including it might be better to be explicit. Wait, the function's required parameters are base and height, so unit is optional. The user's input uses 'units' which matches the default, so I can leave it out. So the arguments should be base: 10, height: 5. Let me make sure there's no other parameters needed. Yep, that's all. So the correct function call is calculate_triangle_area with those values.
</t>
        </is>
      </c>
      <c r="G2" s="2" t="inlineStr">
        <is>
          <t>[{"calculate_triangle_area": {"base": 10, "height": 5}}]</t>
        </is>
      </c>
      <c r="H2" s="2" t="inlineStr">
        <is>
          <t>[{"calculate_triangle_area": {"base": [10], "height": [5], "unit": ["units", ""]}}]</t>
        </is>
      </c>
      <c r="I2" s="2" t="n">
        <v>13846.72</v>
      </c>
    </row>
    <row r="3">
      <c r="A3" s="4" t="inlineStr">
        <is>
          <t>simple_javascript</t>
        </is>
      </c>
      <c r="B3" s="4" t="inlineStr">
        <is>
          <t>simple_javascript_0</t>
        </is>
      </c>
      <c r="C3" s="5" t="inlineStr">
        <is>
          <t>PASS</t>
        </is>
      </c>
      <c r="D3" s="4" t="inlineStr">
        <is>
          <t>Help me validate user input in a form field with the ID 'userInputField' after the user has finished typing?</t>
        </is>
      </c>
      <c r="E3" s="4" t="inlineStr">
        <is>
          <t>Step 0: ✅ OK</t>
        </is>
      </c>
      <c r="F3" s="4" t="inlineStr">
        <is>
          <t xml:space="preserve">Okay, let's see. The user wants to validate input in a form field with the ID 'userInputField' after they've finished typing. The tools provided have a function called validateUserInput. The parameters needed are inputField and isComplete. The inputField should be a string, and isComplete is a boolean.
The user mentioned the ID 'userInputField', so that's the value for inputField. They also said "after the user has finished typing," which means isComplete should be true. I need to make sure I use the exact parameter names and correct data types. So the function call should include inputField: "userInputField" and isComplete: true. Let me double-check the required parameters to ensure I didn't miss any. Yep, both are required. Alright, that's all.
</t>
        </is>
      </c>
      <c r="G3" s="4" t="inlineStr">
        <is>
          <t>[{"validateUserInput": {"inputField": "userInputField", "isComplete": true}}]</t>
        </is>
      </c>
      <c r="H3" s="4" t="inlineStr">
        <is>
          <t>[{"validateUserInput": {"inputField": ["userInputField"], "isComplete": [true]}}]</t>
        </is>
      </c>
      <c r="I3" s="4" t="n">
        <v>5707.83</v>
      </c>
    </row>
    <row r="4">
      <c r="A4" s="2" t="inlineStr">
        <is>
          <t>simple_java</t>
        </is>
      </c>
      <c r="B4" s="2" t="inlineStr">
        <is>
          <t>simple_java_0</t>
        </is>
      </c>
      <c r="C4" s="3" t="inlineStr">
        <is>
          <t>PASS</t>
        </is>
      </c>
      <c r="D4" s="2" t="inlineStr">
        <is>
          <t>Help me initialize the GIS geometry presentation in a user interface, providing a specific result set controller `mapController` and a composite UI element `mapArea` to display the GIS data?</t>
        </is>
      </c>
      <c r="E4" s="2" t="inlineStr">
        <is>
          <t>Step 0: ✅ OK</t>
        </is>
      </c>
      <c r="F4" s="2" t="inlineStr">
        <is>
          <t xml:space="preserve">Okay, the user wants to initialize a GIS geometry presentation in their UI. They mentioned using a specific result set controller called `mapController` and a composite UI element named `mapArea`. Let me check the available functions.
Looking at the provided tools, there's a function called `GeometryPresentation_createPresentation`. Its parameters are `controller` and `parent`, both required. The description says it initializes the GIS presentation within a UI composite using the result set controller. 
The user provided `mapController` as the controller and `mapArea` as the parent composite. So I need to call this function with those exact variable names. Since the parameters are of type "any", there's no need to worry about specific types here. Just pass the variables as they are. 
I should make sure there are no typos in the function name and that the arguments are correctly assigned. The user didn't mention any other parameters, so I don't need to include anything else. This should do it.
</t>
        </is>
      </c>
      <c r="G4" s="2" t="inlineStr">
        <is>
          <t>[{"GeometryPresentation.createPresentation": {"controller": "mapController", "parent": "mapArea"}}]</t>
        </is>
      </c>
      <c r="H4" s="2" t="inlineStr">
        <is>
          <t>[{"GeometryPresentation.createPresentation": {"controller": ["mapController"], "parent": ["mapArea"]}}]</t>
        </is>
      </c>
      <c r="I4" s="2" t="n">
        <v>9579.52</v>
      </c>
    </row>
    <row r="5">
      <c r="A5" s="4" t="inlineStr">
        <is>
          <t>parallel</t>
        </is>
      </c>
      <c r="B5" s="4" t="inlineStr">
        <is>
          <t>parallel_0</t>
        </is>
      </c>
      <c r="C5" s="5" t="inlineStr">
        <is>
          <t>PASS</t>
        </is>
      </c>
      <c r="D5" s="4" t="inlineStr">
        <is>
          <t>Play songs from the artists Taylor Swift and Maroon 5, with a play time of 20 minutes and 15 minutes respectively, on Spotify.</t>
        </is>
      </c>
      <c r="E5" s="4" t="inlineStr">
        <is>
          <t>Step 0: ✅ OK
Step 1: ✅ OK</t>
        </is>
      </c>
      <c r="F5" s="4" t="inlineStr">
        <is>
          <t>N/A</t>
        </is>
      </c>
      <c r="G5" s="4" t="inlineStr">
        <is>
          <t>[{"spotify.play": {"artist": "Taylor Swift", "duration": 20}}, {"spotify.play": {"artist": "Maroon 5", "duration": 15}}]</t>
        </is>
      </c>
      <c r="H5" s="4" t="inlineStr">
        <is>
          <t>[{"spotify.play": {"artist": ["Taylor Swift"], "duration": [20]}}, {"spotify.play": {"artist": ["Maroon 5"], "duration": [15]}}]</t>
        </is>
      </c>
      <c r="I5" s="4" t="n">
        <v>1178.45</v>
      </c>
    </row>
    <row r="6">
      <c r="A6" s="2" t="inlineStr">
        <is>
          <t>parallel_multiple</t>
        </is>
      </c>
      <c r="B6" s="2" t="inlineStr">
        <is>
          <t>parallel_multiple_0</t>
        </is>
      </c>
      <c r="C6" s="3" t="inlineStr">
        <is>
          <t>PASS</t>
        </is>
      </c>
      <c r="D6" s="2" t="inlineStr">
        <is>
          <t>Find the sum of all the multiples of 3 and 5 between 1 and 1000. Also find the product of the first five prime numbers.</t>
        </is>
      </c>
      <c r="E6" s="2" t="inlineStr">
        <is>
          <t>Step 0: ✅ OK
Step 1: ✅ OK</t>
        </is>
      </c>
      <c r="F6" s="2" t="inlineStr">
        <is>
          <t>N/A</t>
        </is>
      </c>
      <c r="G6" s="2" t="inlineStr">
        <is>
          <t>[{"math_toolkit.sum_of_multiples": {"lower_limit": 1, "upper_limit": 1000, "multiples": [3, 5]}}, {"math_toolkit.product_of_primes": {"count": 5}}]</t>
        </is>
      </c>
      <c r="H6" s="2" t="inlineStr">
        <is>
          <t>[{"math_toolkit.sum_of_multiples": {"lower_limit": [1], "upper_limit": [1000], "multiples": [[3, 5]]}}, {"math_toolkit.product_of_primes": {"count": [5]}}]</t>
        </is>
      </c>
      <c r="I6" s="2" t="n">
        <v>2389.91</v>
      </c>
    </row>
    <row r="7">
      <c r="A7" s="4" t="inlineStr">
        <is>
          <t>live_simple</t>
        </is>
      </c>
      <c r="B7" s="4" t="inlineStr">
        <is>
          <t>live_simple_0-0-0</t>
        </is>
      </c>
      <c r="C7" s="6" t="inlineStr">
        <is>
          <t>FAIL</t>
        </is>
      </c>
      <c r="D7" s="4" t="inlineStr">
        <is>
          <t>Can you retrieve the details for the user with the ID 7890, who has black as their special request?</t>
        </is>
      </c>
      <c r="E7" s="4" t="inlineStr">
        <is>
          <t>Step 0: Missing 'special'</t>
        </is>
      </c>
      <c r="F7" s="4" t="inlineStr">
        <is>
          <t xml:space="preserve">
Okay, let's see. The user wants me to retrieve details for user ID 7890, and they mentioned that the special request is "black". I need to use the get_user_info function provided. The function requires the user_id as an integer and a special parameter as a string. The user_id is 7890, which is an integer, so that's straightforward. The special parameter is "black", which is a string. The function's required parameter is user_id, and special has a default of "none", but since the user specified "black", I should include that. So I need to call get_user_info with user_id 7890 and special "black". Let me make sure I'm not missing any other parameters or requirements. The function doesn't have any other required parameters, so that's all. I'll format the tool call accordingly.
</t>
        </is>
      </c>
      <c r="G7" s="4" t="inlineStr">
        <is>
          <t>[{"get_user_info": {"user_id": 7890}}]</t>
        </is>
      </c>
      <c r="H7" s="4" t="inlineStr">
        <is>
          <t>[{"get_user_info": {"user_id": [7890], "special": ["black"]}}]</t>
        </is>
      </c>
      <c r="I7" s="4" t="n">
        <v>6170.82</v>
      </c>
    </row>
    <row r="8">
      <c r="A8" s="2" t="inlineStr">
        <is>
          <t>live_multiple</t>
        </is>
      </c>
      <c r="B8" s="2" t="inlineStr">
        <is>
          <t>live_multiple_0-0-0</t>
        </is>
      </c>
      <c r="C8" s="7" t="inlineStr">
        <is>
          <t>FAIL</t>
        </is>
      </c>
      <c r="D8" s="2" t="inlineStr">
        <is>
          <t>update my latte to a large size with coconut milk and make it extra sweet? make it served 'boiling hot' as the special request. The drink id is 'latte'</t>
        </is>
      </c>
      <c r="E8" s="2" t="inlineStr">
        <is>
          <t>Step 0: Value error 'new_preferences'</t>
        </is>
      </c>
      <c r="F8" s="2" t="inlineStr">
        <is>
          <t xml:space="preserve">
Okay, let's see. The user wants to update their latte. The drink ID is given as 'latte'. They want it to be large size, use coconut milk, make it extra sweet, and served boiling hot.
First, I need to check which function to use. The available functions are ChaFod and ChaDri_change_drink. Since the user is talking about a drink (latte), ChaDri_change_drink is the right one. ChaFod is for food items, so that's not applicable here.
Looking at the parameters for ChaDri_change_drink: drink_id and new_preferences. The drink_id is provided as 'latte'. The new_preferences include milk_type, size, sweetness_level, and temperature. 
The user specified coconut milk, so milk_type should be 'coconut'. Size is 'large'. Sweetness_level is 'extra' because they want it extra sweet. Temperature needs to be 'hot', but the enum options are cold, warm, hot. The user said 'boiling hot', which might map to 'hot'. Special instructions would include the 'boiling hot' note, but the temperature parameter already covers that. Wait, the function's new_preferences has a special_instructions field. Should I include that there or just rely on temperature?
The user's special request is 'boiling hot', which is more intense than just 'hot'. But the temperature enum only goes up to 'hot'. Maybe the special_instructions can note that. However, the temperature parameter is a separate field. Let me check the function's parameters again. The new_preferences has temperature with enum cold, warm, hot. So the best fit is 'hot' for temperature, and maybe add the 'boiling hot' as a special instruction. But the user might just want the temperature set to 'hot' and the special instruction to mention boiling. However, the function's special_instructions is a string, so I can include that there. 
So, putting it all together: drink_id is 'latte', new_preferences includes milk_type: coconut, size: large, sweetness_level: extra, temperature: hot, and special_instructions: 'served boiling hot'. 
Wait, the user's exact words were "make it served 'boiling hot' as the special request." So the special_instructions should be "served boiling hot". The temperature is set to 'hot' as per the enum. That makes sense. So the parameters are all covered. 
I need to make sure that all required parameters are included. The function requires new_preferences, which includes all the necessary fields. The drink_id is provided. So the tool call should be ChaDri_change_drink with these arguments.
</t>
        </is>
      </c>
      <c r="G8" s="2" t="inlineStr">
        <is>
          <t>[{"ChaDri.change_drink": {"drink_id": "latte", "new_preferences": {"milk_type": "coconut", "size": "large", "sweetness_level": "extra", "temperature": "hot"}}}]</t>
        </is>
      </c>
      <c r="H8" s="2" t="inlineStr">
        <is>
          <t>[{"ChaDri.change_drink": {"drink_id": ["latte"], "new_preferences": [{"size": ["large"], "milk_type": ["coconut"], "sweetness_level": ["extra"], "temperature": ["hot"], "special_instructions": ["served boiling hot", "serve boiling hot", "boiling hot", "served 'boiling hot'"]}]}}]</t>
        </is>
      </c>
      <c r="I8" s="2" t="n">
        <v>15482.7</v>
      </c>
    </row>
    <row r="9">
      <c r="A9" s="4" t="inlineStr">
        <is>
          <t>live_parallel</t>
        </is>
      </c>
      <c r="B9" s="4" t="inlineStr">
        <is>
          <t>live_parallel_0-0-0</t>
        </is>
      </c>
      <c r="C9" s="6" t="inlineStr">
        <is>
          <t>FAIL</t>
        </is>
      </c>
      <c r="D9" s="4" t="inlineStr">
        <is>
          <t>请问北京的当前天气状况如何？还有，上海的天气情况是怎样的？</t>
        </is>
      </c>
      <c r="E9" s="4" t="inlineStr">
        <is>
          <t>GT 0: ❌ No match found for get_current_weather
GT 1: ❌ No match found for get_current_weather</t>
        </is>
      </c>
      <c r="F9" s="4" t="inlineStr">
        <is>
          <t>N/A</t>
        </is>
      </c>
      <c r="G9" s="4" t="inlineStr">
        <is>
          <t>[{"get_current_weather": {"location": "北京, 中国", "unit": "celsius"}}, {"get_current_weather": {"location": "上海, 中国", "unit": "celsius"}}]</t>
        </is>
      </c>
      <c r="H9" s="4" t="inlineStr">
        <is>
          <t>[{"get_current_weather": {"location": ["Beijing, China"], "unit": ["", "fahrenheit"]}}, {"get_current_weather": {"location": ["Shanghai, China"], "unit": ["", "fahrenheit"]}}]</t>
        </is>
      </c>
      <c r="I9" s="4" t="n">
        <v>2414</v>
      </c>
    </row>
    <row r="10">
      <c r="A10" s="2" t="inlineStr">
        <is>
          <t>live_parallel_multiple</t>
        </is>
      </c>
      <c r="B10" s="2" t="inlineStr">
        <is>
          <t>live_parallel_multiple_0-0-0</t>
        </is>
      </c>
      <c r="C10" s="3" t="inlineStr">
        <is>
          <t>PASS</t>
        </is>
      </c>
      <c r="D10" s="2" t="inlineStr">
        <is>
          <t>I'd like to change my food order to a Caesar salad without anchovies, and for the drink, can you update my order 123 to a large hot coffee with regular sweetness and almond milk, please?</t>
        </is>
      </c>
      <c r="E10" s="2" t="inlineStr">
        <is>
          <t>Step 0: ✅ OK
Step 1: ✅ OK</t>
        </is>
      </c>
      <c r="F10" s="2" t="inlineStr">
        <is>
          <t>N/A</t>
        </is>
      </c>
      <c r="G10" s="2" t="inlineStr">
        <is>
          <t>[{"ChaFod": {"foodItem": "Caesar salad", "removeIngredients": "anchovies"}}, {"ChaDri.change_drink": {"drink_id": "123", "new_preferences": {"size": "large", "temperature": "hot", "sweetness_level": "regular", "milk_type": "almond"}}}]</t>
        </is>
      </c>
      <c r="H10" s="2" t="inlineStr">
        <is>
          <t>[{"ChaFod": {"foodItem": ["Caesar salad"], "newIngredients": [""], "removeIngredients": ["anchovies", "anchovy"], "specialInstructions": [""]}}, {"ChaDri.change_drink": {"drink_id": ["123"], "new_preferences": [{"size": ["large"], "temperature": ["hot"], "sweetness_level": ["", "regular"], "milk_type": ["almond"], "special_instructions": [""]}]}}]</t>
        </is>
      </c>
      <c r="I10" s="2" t="n">
        <v>2960.6</v>
      </c>
    </row>
    <row r="11">
      <c r="A11" s="4" t="inlineStr">
        <is>
          <t>multi_turn_base</t>
        </is>
      </c>
      <c r="B11" s="4" t="inlineStr">
        <is>
          <t>multi_turn_base_0</t>
        </is>
      </c>
      <c r="C11" s="6" t="inlineStr">
        <is>
          <t>FAIL</t>
        </is>
      </c>
      <c r="D11" s="4" t="inlineStr">
        <is>
          <t>Move 'final_report.pdf' within document directory to 'temp' directory in document. Make sure to create the directory</t>
        </is>
      </c>
      <c r="E11" s="4" t="inlineStr">
        <is>
          <t>❌ No tool calls generated</t>
        </is>
      </c>
      <c r="F11" s="4" t="inlineStr">
        <is>
          <t xml:space="preserve">
Okay, let's see. The user wants to move 'previous_report.pdf' from the document directory to the temp directory. They also mentioned that since the final report is already there, they want to juxtapose it with 'previous_report.pdf' to detect critical alterations.
First, I need to move 'previous_report.pdf' to the temp directory. The previous steps showed that the temp directory was created under 'document/temp', so the destination path should be 'document/temp/previous_report.pdf'. The source is 'document/previous_report.pdf'. So I should use the move_file function again with those parameters.
Next, the user wants to compare the two PDFs. But wait, the functions available might not include a direct PDF comparison tool. In the previous steps, the user converted 'final_report.pdf' to a text file (final_report.txt) for searching and sorting. Maybe they need to do the same with 'previous_report.pdf'? But the user hasn't mentioned converting it yet. However, the current task is to move it first.
After moving, the user wants to juxtapose the two files. The available functions might include a compare_files function. Let me check the tools list. The user hasn't provided the tools list here, but based on previous interactions, functions like create_directory, move_file, search_in_file, sort_file have been used. Assuming there's a compare_files function that takes two files and detects differences, that would be the next step. The parameters would be the two text files in the temp directory: 'document/temp/final_report.txt' and 'document/temp/previous_report.txt'. But the user mentioned the previous report is a PDF. Wait, maybe they need to convert it to text first? If the tools include a convert_pdf_to_text function, that should be called on 'previous_report.pdf' before comparing. However, the user hasn't mentioned that step here. The current instruction is to move it and then juxtapose. Since the final report is already in temp as a PDF, but previous steps converted it to text, perhaps the user expects the same for the previous report. But the user hasn't specified converting, so maybe the compare is done on the PDFs directly. However, comparing PDFs for textual differences isn't straightforward without converting them to text. Given that in previous steps, the user used search_in_file on a text file, it's likely that the compare_files function would require text files. Therefore, I should first convert both PDFs to text, then compare. But the user hasn't mentioned converting the previous report. Hmm. The user's instruction is to move 'previous_report.pdf' to temp and then juxtapose it with 'final_report.pdf'. Since the final report is already in temp as a PDF, but in previous steps, the user converted it to a text file, maybe the user expects the same for the previous report. However, the user hasn't explicitly said to convert it. The assistant might need to infer that conversion is necessary for comparison. But since the user hasn't provided a convert function in the tools, perhaps the compare_files function can handle PDFs. Alternatively, maybe the user made a mistake and the previous report is already a text file. But the filename is 'previous_report.pdf'. This is a bit ambiguous. Given the previous steps, the assistant should proceed with the available functions. Assuming that juxtapose means compare, and that there's a compare_files function, the next step after moving would be to compare the two PDFs. However, if the compare function requires text files, the assistant might need to convert them first. Since the user hasn't mentioned converting, but in the previous step, the final report was converted to text, perhaps the assistant should do the same for the previous report. But without a convert function in the tools, that's not possible. Therefore, the assistant can only proceed with the move and then use the compare_files function on the PDFs, assuming it's available. So the next function calls would be move_file for 'previous_report.pdf' and then compare_files with the two PDFs in the temp directory.
</t>
        </is>
      </c>
      <c r="G11" s="4" t="inlineStr">
        <is>
          <t>[]</t>
        </is>
      </c>
      <c r="H11" s="4" t="inlineStr">
        <is>
          <t>[["cd(folder='document')", "mkdir(dir_name='temp')", "mv(source='final_report.pdf', destination='temp')"], ["cd(folder='temp')", "grep(file_name='final_report.pdf',pattern='budget analysis')"], ["sort('final_report.pdf')"], ["cd(folder='..')", "mv(source='previous_report.pdf',destination='temp')", "cd(folder='temp')", "diff(file_name1='final_report.pdf',file_name2='previous_report.pdf')"]]</t>
        </is>
      </c>
      <c r="I11" s="4" t="n">
        <v>18350.38</v>
      </c>
    </row>
    <row r="12">
      <c r="A12" s="2" t="inlineStr">
        <is>
          <t>multi_turn_miss_func</t>
        </is>
      </c>
      <c r="B12" s="2" t="inlineStr">
        <is>
          <t>multi_turn_miss_func_0</t>
        </is>
      </c>
      <c r="C12" s="7" t="inlineStr">
        <is>
          <t>FAIL</t>
        </is>
      </c>
      <c r="D12" s="2" t="inlineStr">
        <is>
          <t>Move 'final_report.pdf' within document directory to 'temp' directory in document. Make sure to create the directory</t>
        </is>
      </c>
      <c r="E12" s="2" t="inlineStr">
        <is>
          <t>❌ No tool calls generated</t>
        </is>
      </c>
      <c r="F12" s="2" t="inlineStr">
        <is>
          <t xml:space="preserve">Okay, let's see. The user wants to move 'previous_report.pdf' from the document directory to the temp directory. They also mentioned that the final report is already there. Then, they want to compare the two files to detect critical changes.
First, I need to move 'previous_report.pdf' to the temp directory. The function call for moving files is 'move_file'. The source path would be 'document/previous_report.pdf' and the destination is 'document/temp/previous_report.pdf'. 
After moving, the next step is to compare the two PDFs. The function 'compare_files' is available for this. The parameters should be the paths of the two files in the temp directory: 'document/temp/final_report.pdf' and 'document/temp/previous_report.pdf'. 
Wait, the user mentioned "juxtapose it with 'previous_report.pdf' to detect any critical alterations." So the order might matter here. The function parameters for compare_files take 'file1_path' and 'file2_path'. I'll set them accordingly. 
I need to make sure both files are in the temp directory before comparing. Since the final report was already moved earlier, the previous report just needs to be moved now. Then the comparison can proceed.
</t>
        </is>
      </c>
      <c r="G12" s="2" t="inlineStr">
        <is>
          <t>[]</t>
        </is>
      </c>
      <c r="H12" s="2" t="inlineStr">
        <is>
          <t>[["cd(folder='document')", "mkdir(dir_name='temp')", "mv(source='final_report.pdf', destination='temp')"], ["cd(folder='temp')", "grep(file_name='final_report.pdf',pattern='budget analysis')"], [], ["sort('final_report.pdf')"], ["cd(folder='..')", "mv(source='previous_report.pdf',destination='temp')", "cd(folder='temp')", "diff(file_name1='final_report.pdf',file_name2='previous_report.pdf')"]]</t>
        </is>
      </c>
      <c r="I12" s="2" t="n">
        <v>1978.15</v>
      </c>
    </row>
    <row r="13">
      <c r="A13" s="4" t="inlineStr">
        <is>
          <t>multi_turn_miss_param</t>
        </is>
      </c>
      <c r="B13" s="4" t="inlineStr">
        <is>
          <t>multi_turn_miss_param_0</t>
        </is>
      </c>
      <c r="C13" s="6" t="inlineStr">
        <is>
          <t>FAIL</t>
        </is>
      </c>
      <c r="D13" s="4" t="inlineStr">
        <is>
          <t>Move 'final_report.pdf' within document directory to 'temp' directory in document. Make sure to create the directory</t>
        </is>
      </c>
      <c r="E13" s="4" t="inlineStr">
        <is>
          <t>❌ No tool calls generated</t>
        </is>
      </c>
      <c r="F13" s="4" t="inlineStr">
        <is>
          <t xml:space="preserve">
Okay, let me see what the user is asking for now. They mentioned moving "previous_report.pdf" to the temp directory and then comparing it with the final report. Wait, in the previous steps, the user already moved "final_report.pdf" to temp. Now they want to move "previous_report.pdf" as well. The user just confirmed that the specific file is "previous_report.pdf", so I need to make sure that's the one being moved.
First, I should check if there's a function to move files. The tools available include "move_file", which was used earlier. The parameters for move_file are source and destination. The source here is "document/previous_report.pdf", and the destination should be "document/temp/previous_report.pdf". 
Wait, the user already moved "final_report.pdf" to the temp directory. Now moving "previous_report.pdf" there too. Once both are in temp, the next step is to compare them. The "compare_files" tool was used before, which takes two files and an output path. The output here is "document/temp/differences_report.txt". 
I need to make sure that the paths are correct. The user specified the temp directory inside the document directory, so the destination for the move should be "document/temp/previous_report.pdf". Then, the compare_files function will take the two files in the temp directory. 
I should generate the tool calls in order: first move the previous_report.pdf, then compare the two files. The user might want to detect critical alterations between the final and previous reports. 
Double-checking the parameters for each function. The move_file parameters are correct, and the compare_files parameters reference the correct paths. The output file is in the temp directory as specified. 
I think that's all. The user's instruction is clear, so following the steps as outlined.
</t>
        </is>
      </c>
      <c r="G13" s="4" t="inlineStr">
        <is>
          <t>[]</t>
        </is>
      </c>
      <c r="H13" s="4" t="inlineStr">
        <is>
          <t>[["cd(folder='document')", "mkdir(dir_name='temp')", "mv(source='final_report.pdf', destination='temp')"], ["cd(folder='temp')", "grep(file_name='final_report.pdf',pattern='budget analysis')"], ["sort('final_report.pdf')"], [], ["cd(folder='..')", "mv(source='previous_report.pdf',destination='temp')", "cd(folder='temp')", "diff(file_name1='final_report.pdf',file_name2='previous_report.pdf')"]]</t>
        </is>
      </c>
      <c r="I13" s="4" t="n">
        <v>11114.19</v>
      </c>
    </row>
    <row r="14">
      <c r="A14" s="2" t="inlineStr">
        <is>
          <t>multi_turn_long_context</t>
        </is>
      </c>
      <c r="B14" s="2" t="inlineStr">
        <is>
          <t>multi_turn_long_context_0</t>
        </is>
      </c>
      <c r="C14" s="7" t="inlineStr">
        <is>
          <t>FAIL</t>
        </is>
      </c>
      <c r="D14" s="2" t="inlineStr">
        <is>
          <t>Move 'final_report.pdf' within document directory to 'temp' directory in document. Make sure to create the directory</t>
        </is>
      </c>
      <c r="E14" s="2" t="inlineStr">
        <is>
          <t>❌ No tool calls generated</t>
        </is>
      </c>
      <c r="F14" s="2" t="inlineStr">
        <is>
          <t xml:space="preserve">
Okay, let's see. The user wants to move 'previous_report.pdf' from the document directory to the temp directory as well. Then, they want to compare the 'final_report.pdf' in temp with 'previous_report.pdf' to find critical changes.
First, I need to move 'previous_report.pdf'. The create_directory function was already used earlier for the temp folder, so the directory exists now. So I can use the move_file function again, similar to how 'final_report.pdf' was moved. The source would be 'document/previous_report.pdf' and the destination 'document/temp/previous_report.pdf'.
Next, after moving, the user wants to juxtapose the two files. The function for comparing files is compare_files. The parameters would need the paths of both files. The options might include case sensitivity and showing differences. The user mentioned "critical alterations," so maybe a detailed comparison with line numbers and differences. The function parameters include 'file1', 'file2', and 'options'. The options can specify case sensitivity and whether to show all differences or just the critical ones. Since the user says "critical alterations," maybe setting 'show_all' to false to highlight only significant changes. But the function's example might have specific options. Let me check the function definition. The compare_files function's options include 'case_insensitive' and 'show_all'. So to detect critical changes, perhaps case-insensitive and show_all as false. But the user might want all changes, so maybe set show_all to true. Wait, the user says "critical alterations," which might mean they want to see only the important differences. However, without specific parameters for that, maybe the default is to show all, and the user can interpret which are critical. So I'll set the options as case_insensitive: false and show_all: true to get a comprehensive comparison. 
So the function calls would be first move_file for previous_report.pdf, then compare_files with the two files in the temp directory. Let me structure that in JSON.
</t>
        </is>
      </c>
      <c r="G14" s="2" t="inlineStr">
        <is>
          <t>[]</t>
        </is>
      </c>
      <c r="H14" s="2" t="inlineStr">
        <is>
          <t>[["cd(folder='document')", "mkdir(dir_name='temp')", "mv(source='final_report.pdf', destination='temp')"], ["cd(folder='temp')", "grep(file_name='final_report.pdf',pattern='budget analysis')"], ["sort('final_report.pdf')"], ["cd(folder='..')", "mv(source='previous_report.pdf',destination='temp')", "cd(folder='temp')", "diff(file_name1='final_report.pdf',file_name2='previous_report.pdf')"]]</t>
        </is>
      </c>
      <c r="I14" s="2" t="n">
        <v>9061.32</v>
      </c>
    </row>
    <row r="15">
      <c r="A15" s="4" t="inlineStr">
        <is>
          <t>memory</t>
        </is>
      </c>
      <c r="B15" s="4" t="inlineStr">
        <is>
          <t>memory_0-customer-0</t>
        </is>
      </c>
      <c r="C15" s="6" t="inlineStr">
        <is>
          <t>FAIL</t>
        </is>
      </c>
      <c r="D15" s="4" t="inlineStr">
        <is>
          <t>What is my first name?</t>
        </is>
      </c>
      <c r="E15" s="4" t="inlineStr">
        <is>
          <t>❌ Answer mismatch (Expected: ['Michael'])</t>
        </is>
      </c>
      <c r="F15" s="4" t="inlineStr">
        <is>
          <t xml:space="preserve">
Okay, the user is asking, "What is my first name?" Let me think about how to approach this. First, I need to check if there's a function available that can retrieve the user's first name. Looking at the tools provided, there's a function called get_user_info which returns user details like name, email, etc. The parameters for get_user_info might require a user ID or some identifier. However, in this case, the user hasn't provided a user ID, and I don't have access to that information. The function might be designed to fetch info based on the current session or authenticated user. If the system is set up so that the user is already authenticated and their info is available, then calling get_user_info without parameters might work. But if it requires a user ID, and I don't have that, I can't proceed. Since the user is asking for their own first name, it's possible that the function can retrieve the current user's info without needing an ID. Let me check the function's description again. The get_user_info function is supposed to return the user's information. Assuming that the system can determine the current user, I can call this function. So, I'll use get_user_info with no parameters, and then extract the first name from the response. If the function returns the user's data, I can then parse the first name from there. If not, I might need to inform the user that I can't retrieve that information. But given the tools available, this seems like the right approach.
</t>
        </is>
      </c>
      <c r="G15" s="4" t="inlineStr">
        <is>
          <t>[]</t>
        </is>
      </c>
      <c r="H15" s="4" t="inlineStr">
        <is>
          <t>["Michael"]</t>
        </is>
      </c>
      <c r="I15" s="4" t="n">
        <v>9575.35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55" customWidth="1" min="3" max="3"/>
  </cols>
  <sheetData>
    <row r="1">
      <c r="A1" s="1" t="inlineStr">
        <is>
          <t>지표 (Metric)</t>
        </is>
      </c>
      <c r="B1" s="1" t="inlineStr">
        <is>
          <t>값 (Value)</t>
        </is>
      </c>
      <c r="C1" s="1" t="inlineStr">
        <is>
          <t>설명 (Description)</t>
        </is>
      </c>
    </row>
    <row r="2">
      <c r="A2" s="8" t="inlineStr">
        <is>
          <t>테스트 모델 (Model)</t>
        </is>
      </c>
      <c r="B2" s="9" t="inlineStr">
        <is>
          <t>qwen/qwen3-32b</t>
        </is>
      </c>
      <c r="C2" s="8" t="inlineStr">
        <is>
          <t>평가에 사용된 LLM 모델</t>
        </is>
      </c>
    </row>
    <row r="3">
      <c r="A3" t="inlineStr">
        <is>
          <t xml:space="preserve"> </t>
        </is>
      </c>
      <c r="B3" t="inlineStr">
        <is>
          <t xml:space="preserve"> </t>
        </is>
      </c>
      <c r="C3" t="inlineStr">
        <is>
          <t xml:space="preserve"> </t>
        </is>
      </c>
    </row>
    <row r="4">
      <c r="A4" s="10" t="inlineStr">
        <is>
          <t>전체 정확도 (Overall Accuracy)</t>
        </is>
      </c>
      <c r="B4" s="11">
        <f>ROUND(AVERAGE(VALUE(LEFT(B14,FIND("%",B14)-1)),VALUE(LEFT(B15,FIND("%",B15)-1)),VALUE(LEFT(B16,FIND("%",B16)-1)),VALUE(LEFT(B17,FIND("%",B17)-1)),VALUE(LEFT(B18,FIND("%",B18)-1)),VALUE(LEFT(B19,FIND("%",B19)-1)),VALUE(LEFT(B20,FIND("%",B20)-1)),VALUE(LEFT(B21,FIND("%",B21)-1)),VALUE(LEFT(B22,FIND("%",B22)-1)),VALUE(LEFT(B23,FIND("%",B23)-1)),VALUE(LEFT(B24,FIND("%",B24)-1)),VALUE(LEFT(B25,FIND("%",B25)-1)),VALUE(LEFT(B26,FIND("%",B26)-1)),VALUE(LEFT(B27,FIND("%",B27)-1))),1)&amp;"%"</f>
        <v/>
      </c>
      <c r="C4" s="8" t="inlineStr">
        <is>
          <t>모든 카테고리의 비가중 평균 (BFCL 표준)</t>
        </is>
      </c>
    </row>
    <row r="5">
      <c r="A5" s="12" t="inlineStr">
        <is>
          <t>📊 점수 산출 공식</t>
        </is>
      </c>
      <c r="B5" s="13" t="inlineStr">
        <is>
          <t>Σ(Category Acc) / N</t>
        </is>
      </c>
      <c r="C5" s="12" t="inlineStr">
        <is>
          <t>N = 카테고리 수, 각 카테고리에 동일한 가중치 부여</t>
        </is>
      </c>
    </row>
    <row r="6">
      <c r="A6" t="inlineStr">
        <is>
          <t xml:space="preserve"> </t>
        </is>
      </c>
      <c r="B6" t="inlineStr">
        <is>
          <t xml:space="preserve"> </t>
        </is>
      </c>
      <c r="C6" t="inlineStr">
        <is>
          <t xml:space="preserve"> </t>
        </is>
      </c>
    </row>
    <row r="7">
      <c r="A7" s="14" t="inlineStr">
        <is>
          <t>━━━ 그룹별 점수 (Group Scores) ━━━</t>
        </is>
      </c>
      <c r="B7" s="15" t="inlineStr">
        <is>
          <t xml:space="preserve"> </t>
        </is>
      </c>
      <c r="C7" s="16" t="inlineStr">
        <is>
          <t xml:space="preserve"> </t>
        </is>
      </c>
    </row>
    <row r="8">
      <c r="A8" s="8" t="inlineStr">
        <is>
          <t>AGENTIC (에이전트 기능)</t>
        </is>
      </c>
      <c r="B8" s="9">
        <f>VALUE(LEFT(B27,FIND("%",B27)-1))&amp;"%"</f>
        <v/>
      </c>
      <c r="C8" s="8" t="inlineStr">
        <is>
          <t>AGENTIC 그룹 내 카테고리들의 평균 정확도</t>
        </is>
      </c>
    </row>
    <row r="9">
      <c r="A9" s="12" t="inlineStr">
        <is>
          <t>AST_LIVE (AST 실행 평가)</t>
        </is>
      </c>
      <c r="B9" s="13">
        <f>ROUND(AVERAGE(VALUE(LEFT(B19,FIND("%",B19)-1)),VALUE(LEFT(B20,FIND("%",B20)-1)),VALUE(LEFT(B21,FIND("%",B21)-1)),VALUE(LEFT(B22,FIND("%",B22)-1))),1)&amp;"%"</f>
        <v/>
      </c>
      <c r="C9" s="12" t="inlineStr">
        <is>
          <t>AST_LIVE 그룹 내 카테고리들의 평균 정확도</t>
        </is>
      </c>
    </row>
    <row r="10">
      <c r="A10" s="8" t="inlineStr">
        <is>
          <t>AST_NON_LIVE (AST 비실행 평가)</t>
        </is>
      </c>
      <c r="B10" s="9">
        <f>ROUND(AVERAGE(VALUE(LEFT(B14,FIND("%",B14)-1)),VALUE(LEFT(B15,FIND("%",B15)-1)),VALUE(LEFT(B16,FIND("%",B16)-1)),VALUE(LEFT(B17,FIND("%",B17)-1)),VALUE(LEFT(B18,FIND("%",B18)-1))),1)&amp;"%"</f>
        <v/>
      </c>
      <c r="C10" s="8" t="inlineStr">
        <is>
          <t>AST_NON_LIVE 그룹 내 카테고리들의 평균 정확도</t>
        </is>
      </c>
    </row>
    <row r="11">
      <c r="A11" s="12" t="inlineStr">
        <is>
          <t>MULTI_TURN (멀티턴 대화)</t>
        </is>
      </c>
      <c r="B11" s="13">
        <f>ROUND(AVERAGE(VALUE(LEFT(B23,FIND("%",B23)-1)),VALUE(LEFT(B24,FIND("%",B24)-1)),VALUE(LEFT(B25,FIND("%",B25)-1)),VALUE(LEFT(B26,FIND("%",B26)-1))),1)&amp;"%"</f>
        <v/>
      </c>
      <c r="C11" s="12" t="inlineStr">
        <is>
          <t>MULTI_TURN 그룹 내 카테고리들의 평균 정확도</t>
        </is>
      </c>
    </row>
    <row r="12">
      <c r="A12" t="inlineStr">
        <is>
          <t xml:space="preserve"> </t>
        </is>
      </c>
      <c r="B12" t="inlineStr">
        <is>
          <t xml:space="preserve"> </t>
        </is>
      </c>
      <c r="C12" t="inlineStr">
        <is>
          <t xml:space="preserve"> </t>
        </is>
      </c>
    </row>
    <row r="13">
      <c r="A13" s="14" t="inlineStr">
        <is>
          <t>━━━ 카테고리별 점수 (Category Scores) ━━━</t>
        </is>
      </c>
      <c r="B13" s="15" t="inlineStr">
        <is>
          <t xml:space="preserve"> </t>
        </is>
      </c>
      <c r="C13" s="16" t="inlineStr">
        <is>
          <t xml:space="preserve"> </t>
        </is>
      </c>
    </row>
    <row r="14">
      <c r="A14" s="8" t="inlineStr">
        <is>
          <t>simple_python (단일 Python)</t>
        </is>
      </c>
      <c r="B14" s="9">
        <f>IF(COUNTA('Detailed Results'!C2:C2)=0,0,ROUND(COUNTIF('Detailed Results'!C2:C2,"PASS")/COUNTA('Detailed Results'!C2:C2)*100,1))&amp;"%"&amp;" ("&amp;COUNTIF('Detailed Results'!C2:C2,"PASS")&amp;"/"&amp;COUNTA('Detailed Results'!C2:C2)&amp;")"</f>
        <v/>
      </c>
      <c r="C14" s="8" t="inlineStr">
        <is>
          <t>그룹: AST_NON_LIVE, 수식 자동 계산</t>
        </is>
      </c>
    </row>
    <row r="15">
      <c r="A15" s="12" t="inlineStr">
        <is>
          <t>simple_javascript (단일 JavaScript)</t>
        </is>
      </c>
      <c r="B15" s="13">
        <f>IF(COUNTA('Detailed Results'!C3:C3)=0,0,ROUND(COUNTIF('Detailed Results'!C3:C3,"PASS")/COUNTA('Detailed Results'!C3:C3)*100,1))&amp;"%"&amp;" ("&amp;COUNTIF('Detailed Results'!C3:C3,"PASS")&amp;"/"&amp;COUNTA('Detailed Results'!C3:C3)&amp;")"</f>
        <v/>
      </c>
      <c r="C15" s="12" t="inlineStr">
        <is>
          <t>그룹: AST_NON_LIVE, 수식 자동 계산</t>
        </is>
      </c>
    </row>
    <row r="16">
      <c r="A16" s="8" t="inlineStr">
        <is>
          <t>simple_java (단일 Java)</t>
        </is>
      </c>
      <c r="B16" s="9">
        <f>IF(COUNTA('Detailed Results'!C4:C4)=0,0,ROUND(COUNTIF('Detailed Results'!C4:C4,"PASS")/COUNTA('Detailed Results'!C4:C4)*100,1))&amp;"%"&amp;" ("&amp;COUNTIF('Detailed Results'!C4:C4,"PASS")&amp;"/"&amp;COUNTA('Detailed Results'!C4:C4)&amp;")"</f>
        <v/>
      </c>
      <c r="C16" s="8" t="inlineStr">
        <is>
          <t>그룹: AST_NON_LIVE, 수식 자동 계산</t>
        </is>
      </c>
    </row>
    <row r="17">
      <c r="A17" s="12" t="inlineStr">
        <is>
          <t>parallel (병렬 호출)</t>
        </is>
      </c>
      <c r="B17" s="13">
        <f>IF(COUNTA('Detailed Results'!C5:C5)=0,0,ROUND(COUNTIF('Detailed Results'!C5:C5,"PASS")/COUNTA('Detailed Results'!C5:C5)*100,1))&amp;"%"&amp;" ("&amp;COUNTIF('Detailed Results'!C5:C5,"PASS")&amp;"/"&amp;COUNTA('Detailed Results'!C5:C5)&amp;")"</f>
        <v/>
      </c>
      <c r="C17" s="12" t="inlineStr">
        <is>
          <t>그룹: AST_NON_LIVE, 수식 자동 계산</t>
        </is>
      </c>
    </row>
    <row r="18">
      <c r="A18" s="8" t="inlineStr">
        <is>
          <t>parallel_multiple (병렬 다중)</t>
        </is>
      </c>
      <c r="B18" s="9">
        <f>IF(COUNTA('Detailed Results'!C6:C6)=0,0,ROUND(COUNTIF('Detailed Results'!C6:C6,"PASS")/COUNTA('Detailed Results'!C6:C6)*100,1))&amp;"%"&amp;" ("&amp;COUNTIF('Detailed Results'!C6:C6,"PASS")&amp;"/"&amp;COUNTA('Detailed Results'!C6:C6)&amp;")"</f>
        <v/>
      </c>
      <c r="C18" s="8" t="inlineStr">
        <is>
          <t>그룹: AST_NON_LIVE, 수식 자동 계산</t>
        </is>
      </c>
    </row>
    <row r="19">
      <c r="A19" s="12" t="inlineStr">
        <is>
          <t>live_simple (실행 단일)</t>
        </is>
      </c>
      <c r="B19" s="13">
        <f>IF(COUNTA('Detailed Results'!C7:C7)=0,0,ROUND(COUNTIF('Detailed Results'!C7:C7,"PASS")/COUNTA('Detailed Results'!C7:C7)*100,1))&amp;"%"&amp;" ("&amp;COUNTIF('Detailed Results'!C7:C7,"PASS")&amp;"/"&amp;COUNTA('Detailed Results'!C7:C7)&amp;")"</f>
        <v/>
      </c>
      <c r="C19" s="12" t="inlineStr">
        <is>
          <t>그룹: AST_LIVE, 수식 자동 계산</t>
        </is>
      </c>
    </row>
    <row r="20">
      <c r="A20" s="8" t="inlineStr">
        <is>
          <t>live_multiple (실행 다중)</t>
        </is>
      </c>
      <c r="B20" s="9">
        <f>IF(COUNTA('Detailed Results'!C8:C8)=0,0,ROUND(COUNTIF('Detailed Results'!C8:C8,"PASS")/COUNTA('Detailed Results'!C8:C8)*100,1))&amp;"%"&amp;" ("&amp;COUNTIF('Detailed Results'!C8:C8,"PASS")&amp;"/"&amp;COUNTA('Detailed Results'!C8:C8)&amp;")"</f>
        <v/>
      </c>
      <c r="C20" s="8" t="inlineStr">
        <is>
          <t>그룹: AST_LIVE, 수식 자동 계산</t>
        </is>
      </c>
    </row>
    <row r="21">
      <c r="A21" s="12" t="inlineStr">
        <is>
          <t>live_parallel (실행 병렬)</t>
        </is>
      </c>
      <c r="B21" s="13">
        <f>IF(COUNTA('Detailed Results'!C9:C9)=0,0,ROUND(COUNTIF('Detailed Results'!C9:C9,"PASS")/COUNTA('Detailed Results'!C9:C9)*100,1))&amp;"%"&amp;" ("&amp;COUNTIF('Detailed Results'!C9:C9,"PASS")&amp;"/"&amp;COUNTA('Detailed Results'!C9:C9)&amp;")"</f>
        <v/>
      </c>
      <c r="C21" s="12" t="inlineStr">
        <is>
          <t>그룹: AST_LIVE, 수식 자동 계산</t>
        </is>
      </c>
    </row>
    <row r="22">
      <c r="A22" s="8" t="inlineStr">
        <is>
          <t>live_parallel_multiple (실행 병렬 다중)</t>
        </is>
      </c>
      <c r="B22" s="9">
        <f>IF(COUNTA('Detailed Results'!C10:C10)=0,0,ROUND(COUNTIF('Detailed Results'!C10:C10,"PASS")/COUNTA('Detailed Results'!C10:C10)*100,1))&amp;"%"&amp;" ("&amp;COUNTIF('Detailed Results'!C10:C10,"PASS")&amp;"/"&amp;COUNTA('Detailed Results'!C10:C10)&amp;")"</f>
        <v/>
      </c>
      <c r="C22" s="8" t="inlineStr">
        <is>
          <t>그룹: AST_LIVE, 수식 자동 계산</t>
        </is>
      </c>
    </row>
    <row r="23">
      <c r="A23" s="12" t="inlineStr">
        <is>
          <t>multi_turn_base (멀티턴 기본)</t>
        </is>
      </c>
      <c r="B23" s="13">
        <f>IF(COUNTA('Detailed Results'!C11:C11)=0,0,ROUND(COUNTIF('Detailed Results'!C11:C11,"PASS")/COUNTA('Detailed Results'!C11:C11)*100,1))&amp;"%"&amp;" ("&amp;COUNTIF('Detailed Results'!C11:C11,"PASS")&amp;"/"&amp;COUNTA('Detailed Results'!C11:C11)&amp;")"</f>
        <v/>
      </c>
      <c r="C23" s="12" t="inlineStr">
        <is>
          <t>그룹: MULTI_TURN, 수식 자동 계산</t>
        </is>
      </c>
    </row>
    <row r="24">
      <c r="A24" s="8" t="inlineStr">
        <is>
          <t>multi_turn_miss_func (멀티턴 함수누락)</t>
        </is>
      </c>
      <c r="B24" s="9">
        <f>IF(COUNTA('Detailed Results'!C12:C12)=0,0,ROUND(COUNTIF('Detailed Results'!C12:C12,"PASS")/COUNTA('Detailed Results'!C12:C12)*100,1))&amp;"%"&amp;" ("&amp;COUNTIF('Detailed Results'!C12:C12,"PASS")&amp;"/"&amp;COUNTA('Detailed Results'!C12:C12)&amp;")"</f>
        <v/>
      </c>
      <c r="C24" s="8" t="inlineStr">
        <is>
          <t>그룹: MULTI_TURN, 수식 자동 계산</t>
        </is>
      </c>
    </row>
    <row r="25">
      <c r="A25" s="12" t="inlineStr">
        <is>
          <t>multi_turn_miss_param (멀티턴 파라미터누락)</t>
        </is>
      </c>
      <c r="B25" s="13">
        <f>IF(COUNTA('Detailed Results'!C13:C13)=0,0,ROUND(COUNTIF('Detailed Results'!C13:C13,"PASS")/COUNTA('Detailed Results'!C13:C13)*100,1))&amp;"%"&amp;" ("&amp;COUNTIF('Detailed Results'!C13:C13,"PASS")&amp;"/"&amp;COUNTA('Detailed Results'!C13:C13)&amp;")"</f>
        <v/>
      </c>
      <c r="C25" s="12" t="inlineStr">
        <is>
          <t>그룹: MULTI_TURN, 수식 자동 계산</t>
        </is>
      </c>
    </row>
    <row r="26">
      <c r="A26" s="8" t="inlineStr">
        <is>
          <t>multi_turn_long_context (멀티턴 긴컨텍스트)</t>
        </is>
      </c>
      <c r="B26" s="9">
        <f>IF(COUNTA('Detailed Results'!C14:C14)=0,0,ROUND(COUNTIF('Detailed Results'!C14:C14,"PASS")/COUNTA('Detailed Results'!C14:C14)*100,1))&amp;"%"&amp;" ("&amp;COUNTIF('Detailed Results'!C14:C14,"PASS")&amp;"/"&amp;COUNTA('Detailed Results'!C14:C14)&amp;")"</f>
        <v/>
      </c>
      <c r="C26" s="8" t="inlineStr">
        <is>
          <t>그룹: MULTI_TURN, 수식 자동 계산</t>
        </is>
      </c>
    </row>
    <row r="27">
      <c r="A27" s="12" t="inlineStr">
        <is>
          <t>memory (메모리 관리)</t>
        </is>
      </c>
      <c r="B27" s="13">
        <f>IF(COUNTA('Detailed Results'!C15:C15)=0,0,ROUND(COUNTIF('Detailed Results'!C15:C15,"PASS")/COUNTA('Detailed Results'!C15:C15)*100,1))&amp;"%"&amp;" ("&amp;COUNTIF('Detailed Results'!C15:C15,"PASS")&amp;"/"&amp;COUNTA('Detailed Results'!C15:C15)&amp;")"</f>
        <v/>
      </c>
      <c r="C27" s="12" t="inlineStr">
        <is>
          <t>그룹: AGENTIC, 수식 자동 계산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0" customWidth="1" min="3" max="3"/>
    <col width="14" customWidth="1" min="4" max="4"/>
    <col width="60" customWidth="1" min="5" max="5"/>
  </cols>
  <sheetData>
    <row r="1">
      <c r="A1" s="17" t="inlineStr">
        <is>
          <t>카테고리 (Category)</t>
        </is>
      </c>
      <c r="B1" s="17" t="inlineStr">
        <is>
          <t>전체 개수
(Total Count)</t>
        </is>
      </c>
      <c r="C1" s="17" t="inlineStr">
        <is>
          <t>그룹
(Group)</t>
        </is>
      </c>
      <c r="D1" s="17" t="inlineStr">
        <is>
          <t>난이도
(Difficulty)</t>
        </is>
      </c>
      <c r="E1" s="17" t="inlineStr">
        <is>
          <t>설명 (Description)</t>
        </is>
      </c>
    </row>
    <row r="2">
      <c r="A2" s="8" t="inlineStr">
        <is>
          <t>simple_python
(단일 Python)</t>
        </is>
      </c>
      <c r="B2" s="9" t="n">
        <v>399</v>
      </c>
      <c r="C2" s="8" t="inlineStr">
        <is>
          <t>AST_NON_LIVE</t>
        </is>
      </c>
      <c r="D2" s="9" t="inlineStr">
        <is>
          <t>⭐</t>
        </is>
      </c>
      <c r="E2" s="8" t="inlineStr">
        <is>
          <t>기본 파라미터를 가진 단일 Python 함수 호출 | Single Python function call with basic parameters</t>
        </is>
      </c>
    </row>
    <row r="3">
      <c r="A3" s="12" t="inlineStr">
        <is>
          <t>simple_javascript
(단일 JavaScript)</t>
        </is>
      </c>
      <c r="B3" s="13" t="n">
        <v>49</v>
      </c>
      <c r="C3" s="12" t="inlineStr">
        <is>
          <t>AST_NON_LIVE</t>
        </is>
      </c>
      <c r="D3" s="13" t="inlineStr">
        <is>
          <t>⭐</t>
        </is>
      </c>
      <c r="E3" s="12" t="inlineStr">
        <is>
          <t>기본 파라미터를 가진 단일 JavaScript 함수 호출 | Single JavaScript function call with basic parameters</t>
        </is>
      </c>
    </row>
    <row r="4">
      <c r="A4" s="8" t="inlineStr">
        <is>
          <t>simple_java
(단일 Java)</t>
        </is>
      </c>
      <c r="B4" s="9" t="n">
        <v>99</v>
      </c>
      <c r="C4" s="8" t="inlineStr">
        <is>
          <t>AST_NON_LIVE</t>
        </is>
      </c>
      <c r="D4" s="9" t="inlineStr">
        <is>
          <t>⭐</t>
        </is>
      </c>
      <c r="E4" s="8" t="inlineStr">
        <is>
          <t>기본 파라미터를 가진 단일 Java 함수 호출 | Single Java function call with basic parameters</t>
        </is>
      </c>
    </row>
    <row r="5">
      <c r="A5" s="12" t="inlineStr">
        <is>
          <t>multiple
(다중 파라미터)</t>
        </is>
      </c>
      <c r="B5" s="13" t="n">
        <v>199</v>
      </c>
      <c r="C5" s="12" t="inlineStr">
        <is>
          <t>AST_NON_LIVE</t>
        </is>
      </c>
      <c r="D5" s="13" t="inlineStr">
        <is>
          <t>⭐⭐</t>
        </is>
      </c>
      <c r="E5" s="12" t="inlineStr">
        <is>
          <t>단일 함수에 여러 파라미터 전달 | Multiple parameters in single function call</t>
        </is>
      </c>
    </row>
    <row r="6">
      <c r="A6" s="8" t="inlineStr">
        <is>
          <t>parallel
(병렬 호출)</t>
        </is>
      </c>
      <c r="B6" s="9" t="n">
        <v>199</v>
      </c>
      <c r="C6" s="8" t="inlineStr">
        <is>
          <t>AST_NON_LIVE</t>
        </is>
      </c>
      <c r="D6" s="9" t="inlineStr">
        <is>
          <t>⭐⭐</t>
        </is>
      </c>
      <c r="E6" s="8" t="inlineStr">
        <is>
          <t>여러 함수를 병렬로 호출 (순서 무시) | Multiple functions called in parallel (order-independent)</t>
        </is>
      </c>
    </row>
    <row r="7">
      <c r="A7" s="12" t="inlineStr">
        <is>
          <t>parallel_multiple
(병렬 다중)</t>
        </is>
      </c>
      <c r="B7" s="13" t="n">
        <v>199</v>
      </c>
      <c r="C7" s="12" t="inlineStr">
        <is>
          <t>AST_NON_LIVE</t>
        </is>
      </c>
      <c r="D7" s="13" t="inlineStr">
        <is>
          <t>⭐⭐⭐</t>
        </is>
      </c>
      <c r="E7" s="12" t="inlineStr">
        <is>
          <t>여러 함수를 다중 파라미터로 병렬 호출 (순서 무시) | Multiple functions with multiple parameters in parallel (order-independent)</t>
        </is>
      </c>
    </row>
    <row r="8">
      <c r="A8" s="8" t="inlineStr">
        <is>
          <t>live_simple
(실행 단일)</t>
        </is>
      </c>
      <c r="B8" s="9" t="n">
        <v>257</v>
      </c>
      <c r="C8" s="8" t="inlineStr">
        <is>
          <t>AST_LIVE</t>
        </is>
      </c>
      <c r="D8" s="9" t="inlineStr">
        <is>
          <t>⭐⭐</t>
        </is>
      </c>
      <c r="E8" s="8" t="inlineStr">
        <is>
          <t>실제 API를 사용한 단순 함수 호출 | Simple function calls using live/real APIs</t>
        </is>
      </c>
    </row>
    <row r="9">
      <c r="A9" s="12" t="inlineStr">
        <is>
          <t>live_multiple
(실행 다중)</t>
        </is>
      </c>
      <c r="B9" s="13" t="n">
        <v>1052</v>
      </c>
      <c r="C9" s="12" t="inlineStr">
        <is>
          <t>AST_LIVE</t>
        </is>
      </c>
      <c r="D9" s="13" t="inlineStr">
        <is>
          <t>⭐⭐</t>
        </is>
      </c>
      <c r="E9" s="12" t="inlineStr">
        <is>
          <t>실제 API에 다중 파라미터 함수 | Multiple parameter functions with live APIs</t>
        </is>
      </c>
    </row>
    <row r="10">
      <c r="A10" s="8" t="inlineStr">
        <is>
          <t>live_parallel
(실행 병렬)</t>
        </is>
      </c>
      <c r="B10" s="9" t="n">
        <v>15</v>
      </c>
      <c r="C10" s="8" t="inlineStr">
        <is>
          <t>AST_LIVE</t>
        </is>
      </c>
      <c r="D10" s="9" t="inlineStr">
        <is>
          <t>⭐⭐⭐</t>
        </is>
      </c>
      <c r="E10" s="8" t="inlineStr">
        <is>
          <t>실제 API 병렬 함수 호출 (순서 무시) | Parallel function calls with live APIs (order-independent)</t>
        </is>
      </c>
    </row>
    <row r="11">
      <c r="A11" s="12" t="inlineStr">
        <is>
          <t>live_parallel_multiple
(실행 병렬 다중)</t>
        </is>
      </c>
      <c r="B11" s="13" t="n">
        <v>23</v>
      </c>
      <c r="C11" s="12" t="inlineStr">
        <is>
          <t>AST_LIVE</t>
        </is>
      </c>
      <c r="D11" s="13" t="inlineStr">
        <is>
          <t>⭐⭐⭐</t>
        </is>
      </c>
      <c r="E11" s="12" t="inlineStr">
        <is>
          <t>실제 API 복잡한 병렬 호출 (순서 무시) | Complex parallel calls with live APIs (order-independent)</t>
        </is>
      </c>
    </row>
    <row r="12">
      <c r="A12" s="8" t="inlineStr">
        <is>
          <t>multi_turn_base
(멀티턴 기본)</t>
        </is>
      </c>
      <c r="B12" s="9" t="n">
        <v>200</v>
      </c>
      <c r="C12" s="8" t="inlineStr">
        <is>
          <t>MULTI_TURN</t>
        </is>
      </c>
      <c r="D12" s="9" t="inlineStr">
        <is>
          <t>⭐⭐⭐</t>
        </is>
      </c>
      <c r="E12" s="8" t="inlineStr">
        <is>
          <t>기본 멀티턴 대화형 함수 호출 | Basic multi-turn conversational function calling</t>
        </is>
      </c>
    </row>
    <row r="13">
      <c r="A13" s="12" t="inlineStr">
        <is>
          <t>multi_turn_miss_func
(멀티턴 함수누락)</t>
        </is>
      </c>
      <c r="B13" s="13" t="n">
        <v>200</v>
      </c>
      <c r="C13" s="12" t="inlineStr">
        <is>
          <t>MULTI_TURN</t>
        </is>
      </c>
      <c r="D13" s="13" t="inlineStr">
        <is>
          <t>⭐⭐⭐</t>
        </is>
      </c>
      <c r="E13" s="12" t="inlineStr">
        <is>
          <t>함수 누락 처리가 필요한 멀티턴 | Multi-turn with missing function handling</t>
        </is>
      </c>
    </row>
    <row r="14">
      <c r="A14" s="8" t="inlineStr">
        <is>
          <t>multi_turn_miss_param
(멀티턴 파라미터누락)</t>
        </is>
      </c>
      <c r="B14" s="9" t="n">
        <v>200</v>
      </c>
      <c r="C14" s="8" t="inlineStr">
        <is>
          <t>MULTI_TURN</t>
        </is>
      </c>
      <c r="D14" s="9" t="inlineStr">
        <is>
          <t>⭐⭐⭐</t>
        </is>
      </c>
      <c r="E14" s="8" t="inlineStr">
        <is>
          <t>파라미터 누락 처리가 필요한 멀티턴 | Multi-turn with missing parameter handling</t>
        </is>
      </c>
    </row>
    <row r="15">
      <c r="A15" s="12" t="inlineStr">
        <is>
          <t>multi_turn_long_context
(멀티턴 긴컨텍스트)</t>
        </is>
      </c>
      <c r="B15" s="13" t="n">
        <v>200</v>
      </c>
      <c r="C15" s="12" t="inlineStr">
        <is>
          <t>MULTI_TURN</t>
        </is>
      </c>
      <c r="D15" s="13" t="inlineStr">
        <is>
          <t>⭐⭐⭐⭐</t>
        </is>
      </c>
      <c r="E15" s="12" t="inlineStr">
        <is>
          <t>긴 컨텍스트가 필요한 멀티턴 | Multi-turn with extended context requirements</t>
        </is>
      </c>
    </row>
    <row r="16">
      <c r="A16" s="8" t="inlineStr">
        <is>
          <t>irrelevance
(관련없음 탐지)</t>
        </is>
      </c>
      <c r="B16" s="9" t="n">
        <v>239</v>
      </c>
      <c r="C16" s="8" t="inlineStr">
        <is>
          <t>RELEVANCE</t>
        </is>
      </c>
      <c r="D16" s="9" t="inlineStr">
        <is>
          <t>⭐⭐</t>
        </is>
      </c>
      <c r="E16" s="8" t="inlineStr">
        <is>
          <t>함수를 호출하지 말아야 할 때 탐지 | Detecting when NOT to call any function</t>
        </is>
      </c>
    </row>
    <row r="17">
      <c r="A17" s="12" t="inlineStr">
        <is>
          <t>live_irrelevance
(실행 관련없음)</t>
        </is>
      </c>
      <c r="B17" s="13" t="n">
        <v>884</v>
      </c>
      <c r="C17" s="12" t="inlineStr">
        <is>
          <t>RELEVANCE</t>
        </is>
      </c>
      <c r="D17" s="13" t="inlineStr">
        <is>
          <t>⭐⭐</t>
        </is>
      </c>
      <c r="E17" s="12" t="inlineStr">
        <is>
          <t>실제 API에서 관련없는 함수 호출 회피 | Avoiding irrelevant function calls with live APIs</t>
        </is>
      </c>
    </row>
    <row r="18">
      <c r="A18" s="8" t="inlineStr">
        <is>
          <t>live_relevance
(실행 관련성)</t>
        </is>
      </c>
      <c r="B18" s="9" t="n">
        <v>16</v>
      </c>
      <c r="C18" s="8" t="inlineStr">
        <is>
          <t>RELEVANCE</t>
        </is>
      </c>
      <c r="D18" s="9" t="inlineStr">
        <is>
          <t>⭐⭐</t>
        </is>
      </c>
      <c r="E18" s="8" t="inlineStr">
        <is>
          <t>실제 API에서 관련 있는 함수 탐지 | Detecting relevant functions with live APIs</t>
        </is>
      </c>
    </row>
    <row r="19">
      <c r="A19" s="12" t="inlineStr">
        <is>
          <t>web_search
(웹 검색)</t>
        </is>
      </c>
      <c r="B19" s="13" t="n">
        <v>99</v>
      </c>
      <c r="C19" s="12" t="inlineStr">
        <is>
          <t>AGENTIC</t>
        </is>
      </c>
      <c r="D19" s="13" t="inlineStr">
        <is>
          <t>⭐⭐⭐</t>
        </is>
      </c>
      <c r="E19" s="12" t="inlineStr">
        <is>
          <t>웹 검색 에이전트 기능 | Web search agent capabilities</t>
        </is>
      </c>
    </row>
    <row r="20">
      <c r="A20" s="8" t="inlineStr">
        <is>
          <t>memory
(메모리 관리)</t>
        </is>
      </c>
      <c r="B20" s="9" t="n">
        <v>155</v>
      </c>
      <c r="C20" s="8" t="inlineStr">
        <is>
          <t>AGENTIC</t>
        </is>
      </c>
      <c r="D20" s="9" t="inlineStr">
        <is>
          <t>⭐⭐⭐</t>
        </is>
      </c>
      <c r="E20" s="8" t="inlineStr">
        <is>
          <t>대화 메모리 관리 및 컨텍스트 유지 | Memory management and context retention</t>
        </is>
      </c>
    </row>
    <row r="21">
      <c r="A21" s="12" t="inlineStr">
        <is>
          <t>format_sensitivity
(포맷 민감도)</t>
        </is>
      </c>
      <c r="B21" s="13" t="n">
        <v>9</v>
      </c>
      <c r="C21" s="12" t="inlineStr">
        <is>
          <t>AGENTIC</t>
        </is>
      </c>
      <c r="D21" s="13" t="inlineStr">
        <is>
          <t>⭐⭐</t>
        </is>
      </c>
      <c r="E21" s="12" t="inlineStr">
        <is>
          <t>다양한 입력 포맷에 대한 민감도 | Sensitivity to various input formats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32" customWidth="1" min="1" max="1"/>
    <col width="85" customWidth="1" min="2" max="2"/>
  </cols>
  <sheetData>
    <row r="1">
      <c r="A1" s="1" t="inlineStr">
        <is>
          <t>구분 (Section)</t>
        </is>
      </c>
      <c r="B1" s="1" t="inlineStr">
        <is>
          <t>내용 (Content)</t>
        </is>
      </c>
    </row>
    <row r="2">
      <c r="A2" s="8" t="inlineStr">
        <is>
          <t>📊 BFCL 공식 (Official)</t>
        </is>
      </c>
      <c r="B2" s="8" t="inlineStr">
        <is>
          <t>Berkeley Function Calling Leaderboard (BFCL)</t>
        </is>
      </c>
    </row>
    <row r="3">
      <c r="A3" s="12" t="inlineStr">
        <is>
          <t>🌐 웹사이트 (Website)</t>
        </is>
      </c>
      <c r="B3" s="12" t="inlineStr">
        <is>
          <t>https://gorilla.cs.berkeley.edu/leaderboard.html</t>
        </is>
      </c>
    </row>
    <row r="4">
      <c r="A4" s="8" t="inlineStr">
        <is>
          <t>💻 GitHub</t>
        </is>
      </c>
      <c r="B4" s="8" t="inlineStr">
        <is>
          <t>https://github.com/ShishirPatil/gorilla/tree/main/berkeley-function-call-leaderboard</t>
        </is>
      </c>
    </row>
    <row r="5">
      <c r="A5" s="12" t="inlineStr">
        <is>
          <t>📁 Dataset</t>
        </is>
      </c>
      <c r="B5" s="12" t="inlineStr">
        <is>
          <t>https://huggingface.co/datasets/gorilla-llm/Berkeley-Function-Calling-Leaderboard</t>
        </is>
      </c>
    </row>
    <row r="6">
      <c r="A6" t="inlineStr">
        <is>
          <t xml:space="preserve"> </t>
        </is>
      </c>
      <c r="B6" t="inlineStr">
        <is>
          <t xml:space="preserve"> </t>
        </is>
      </c>
    </row>
    <row r="7">
      <c r="A7" s="14" t="inlineStr">
        <is>
          <t>━━━ 평가 방법 (Evaluation Methods) ━━━</t>
        </is>
      </c>
      <c r="B7" s="16" t="inlineStr">
        <is>
          <t xml:space="preserve"> </t>
        </is>
      </c>
    </row>
    <row r="8">
      <c r="A8" s="8" t="inlineStr">
        <is>
          <t>🌳 AST 평가</t>
        </is>
      </c>
      <c r="B8" s="8" t="inlineStr">
        <is>
          <t>추상 구문 트리 비교 (Abstract Syntax Tree comparison for structural correctness)</t>
        </is>
      </c>
    </row>
    <row r="9">
      <c r="A9" s="12" t="inlineStr">
        <is>
          <t>⚙️ 실행 평가</t>
        </is>
      </c>
      <c r="B9" s="12" t="inlineStr">
        <is>
          <t>REST API 및 Python 함수 실제 실행 (Actual execution for REST APIs and Python functions)</t>
        </is>
      </c>
    </row>
    <row r="10">
      <c r="A10" s="8" t="inlineStr">
        <is>
          <t>✅ 관련성 탐지</t>
        </is>
      </c>
      <c r="B10" s="8" t="inlineStr">
        <is>
          <t>관련 없는 함수 호출 회피 능력 (Ability to avoid irrelevant function calls)</t>
        </is>
      </c>
    </row>
    <row r="11">
      <c r="A11" s="12" t="inlineStr">
        <is>
          <t>🔀 병렬 호출 순서</t>
        </is>
      </c>
      <c r="B11" s="12" t="inlineStr">
        <is>
          <t>BFCL 표준: 병렬(parallel) 카테고리는 호출 순서 무시. 집합처럼 매칭 (Order-independent matching for parallel function calls)</t>
        </is>
      </c>
    </row>
    <row r="12">
      <c r="A12" t="inlineStr">
        <is>
          <t xml:space="preserve"> </t>
        </is>
      </c>
      <c r="B12" t="inlineStr">
        <is>
          <t xml:space="preserve"> </t>
        </is>
      </c>
    </row>
    <row r="13">
      <c r="A13" s="14" t="inlineStr">
        <is>
          <t>━━━ 점수 산출 (Scoring) ━━━</t>
        </is>
      </c>
      <c r="B13" s="16" t="inlineStr">
        <is>
          <t xml:space="preserve"> </t>
        </is>
      </c>
    </row>
    <row r="14">
      <c r="A14" s="8" t="inlineStr">
        <is>
          <t>📈 전체 정확도</t>
        </is>
      </c>
      <c r="B14" s="8" t="inlineStr">
        <is>
          <t>Overall Accuracy = Σ(Category Accuracy) / N (모든 카테고리의 비가중 평균)</t>
        </is>
      </c>
    </row>
    <row r="15">
      <c r="A15" s="12" t="inlineStr">
        <is>
          <t>📊 카테고리 정확도</t>
        </is>
      </c>
      <c r="B15" s="12" t="inlineStr">
        <is>
          <t>Category Accuracy = (PASS count / Total count) × 100%</t>
        </is>
      </c>
    </row>
    <row r="16">
      <c r="A16" s="8" t="inlineStr">
        <is>
          <t>📂 그룹 정확도</t>
        </is>
      </c>
      <c r="B16" s="8" t="inlineStr">
        <is>
          <t>Group Accuracy = 동일 그룹 내 카테고리들의 평균 (Average of categories within same group)</t>
        </is>
      </c>
    </row>
    <row r="17">
      <c r="A17" t="inlineStr">
        <is>
          <t xml:space="preserve"> </t>
        </is>
      </c>
      <c r="B17" t="inlineStr">
        <is>
          <t xml:space="preserve"> </t>
        </is>
      </c>
    </row>
    <row r="18">
      <c r="A18" s="14" t="inlineStr">
        <is>
          <t>━━━ 논문 (Papers) ━━━</t>
        </is>
      </c>
      <c r="B18" s="16" t="inlineStr">
        <is>
          <t xml:space="preserve"> </t>
        </is>
      </c>
    </row>
    <row r="19">
      <c r="A19" s="12" t="inlineStr">
        <is>
          <t>📄 BFCL v1</t>
        </is>
      </c>
      <c r="B19" s="12" t="inlineStr">
        <is>
          <t>AST 평가 메트릭 도입 (Introducing AST evaluation metric)</t>
        </is>
      </c>
    </row>
    <row r="20">
      <c r="A20" s="8" t="inlineStr">
        <is>
          <t>📄 BFCL v2</t>
        </is>
      </c>
      <c r="B20" s="8" t="inlineStr">
        <is>
          <t>기업 및 OSS 기여 함수 (Enterprise and OSS-contributed functions)</t>
        </is>
      </c>
    </row>
    <row r="21">
      <c r="A21" s="12" t="inlineStr">
        <is>
          <t>📄 BFCL v3</t>
        </is>
      </c>
      <c r="B21" s="12" t="inlineStr">
        <is>
          <t>멀티턴 상호작용 (Multi-turn interactions)</t>
        </is>
      </c>
    </row>
    <row r="22">
      <c r="A22" s="8" t="inlineStr">
        <is>
          <t>📄 BFCL v4</t>
        </is>
      </c>
      <c r="B22" s="8" t="inlineStr">
        <is>
          <t>종합적 에이전트 평가 (Holistic agentic evaluation)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2026-01-21T06:54:36Z</dcterms:created>
  <dcterms:modified xmlns:dcterms="http://purl.org/dc/terms/" xmlns:xsi="http://www.w3.org/2001/XMLSchema-instance" xsi:type="dcterms:W3CDTF">2026-01-21T06:54:36Z</dcterms:modified>
</cp:coreProperties>
</file>