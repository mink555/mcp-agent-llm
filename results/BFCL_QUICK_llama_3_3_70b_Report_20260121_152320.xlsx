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BFCL)" sheetId="2" state="visible" r:id="rId2"/>
    <sheet xmlns:r="http://schemas.openxmlformats.org/officeDocument/2006/relationships" name="Dataset Info"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D32F2F"/>
    </font>
    <font>
      <b val="1"/>
      <color rgb="002E7D32"/>
    </font>
    <font>
      <b val="1"/>
      <sz val="11"/>
    </font>
    <font>
      <b val="1"/>
      <color rgb="002E7D32"/>
      <sz val="12"/>
    </font>
    <font>
      <b val="1"/>
      <color rgb="00333333"/>
    </font>
  </fonts>
  <fills count="5">
    <fill>
      <patternFill/>
    </fill>
    <fill>
      <patternFill patternType="gray125"/>
    </fill>
    <fill>
      <patternFill patternType="solid">
        <fgColor rgb="00F2F2F2"/>
        <bgColor rgb="00F2F2F2"/>
      </patternFill>
    </fill>
    <fill>
      <patternFill patternType="solid">
        <fgColor rgb="00FAFAFA"/>
        <bgColor rgb="00FAFAFA"/>
      </patternFill>
    </fill>
    <fill>
      <patternFill patternType="solid">
        <fgColor rgb="00E7E6E6"/>
        <bgColor rgb="00E7E6E6"/>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2" borderId="2" applyAlignment="1" pivotButton="0" quotePrefix="0" xfId="0">
      <alignment horizontal="center" vertical="center"/>
    </xf>
    <xf numFmtId="0" fontId="0" fillId="3" borderId="2" applyAlignment="1" pivotButton="0" quotePrefix="0" xfId="0">
      <alignment vertical="top" wrapText="1" indent="1"/>
    </xf>
    <xf numFmtId="0" fontId="2" fillId="3" borderId="2" applyAlignment="1" pivotButton="0" quotePrefix="0" xfId="0">
      <alignment horizontal="center" vertical="center"/>
    </xf>
    <xf numFmtId="0" fontId="0" fillId="0" borderId="2" applyAlignment="1" pivotButton="0" quotePrefix="0" xfId="0">
      <alignment vertical="top" wrapText="1" indent="1"/>
    </xf>
    <xf numFmtId="0" fontId="2" fillId="0" borderId="2" applyAlignment="1" pivotButton="0" quotePrefix="0" xfId="0">
      <alignment horizontal="center" vertical="center"/>
    </xf>
    <xf numFmtId="0" fontId="3" fillId="3" borderId="2" applyAlignment="1" pivotButton="0" quotePrefix="0" xfId="0">
      <alignment horizontal="center" vertical="center"/>
    </xf>
    <xf numFmtId="0" fontId="3" fillId="0" borderId="2" applyAlignment="1" pivotButton="0" quotePrefix="0" xfId="0">
      <alignment horizontal="center" vertical="center"/>
    </xf>
    <xf numFmtId="0" fontId="0" fillId="3" borderId="2" applyAlignment="1" pivotButton="0" quotePrefix="0" xfId="0">
      <alignment vertical="center" wrapText="1" indent="1"/>
    </xf>
    <xf numFmtId="0" fontId="0" fillId="3" borderId="2" applyAlignment="1" pivotButton="0" quotePrefix="0" xfId="0">
      <alignment horizontal="center" vertical="center"/>
    </xf>
    <xf numFmtId="0" fontId="4" fillId="3" borderId="2" applyAlignment="1" pivotButton="0" quotePrefix="0" xfId="0">
      <alignment vertical="center" wrapText="1" indent="1"/>
    </xf>
    <xf numFmtId="0" fontId="5" fillId="3" borderId="2" applyAlignment="1" pivotButton="0" quotePrefix="0" xfId="0">
      <alignment horizontal="center" vertical="center"/>
    </xf>
    <xf numFmtId="0" fontId="0" fillId="0" borderId="2" applyAlignment="1" pivotButton="0" quotePrefix="0" xfId="0">
      <alignment vertical="center" wrapText="1" indent="1"/>
    </xf>
    <xf numFmtId="0" fontId="0" fillId="0" borderId="2" applyAlignment="1" pivotButton="0" quotePrefix="0" xfId="0">
      <alignment horizontal="center" vertical="center"/>
    </xf>
    <xf numFmtId="0" fontId="6" fillId="4" borderId="2" applyAlignment="1" pivotButton="0" quotePrefix="0" xfId="0">
      <alignment vertical="center" wrapText="1" indent="1"/>
    </xf>
    <xf numFmtId="0" fontId="0" fillId="4" borderId="2" applyAlignment="1" pivotButton="0" quotePrefix="0" xfId="0">
      <alignment horizontal="center" vertical="center"/>
    </xf>
    <xf numFmtId="0" fontId="0" fillId="4" borderId="2" applyAlignment="1" pivotButton="0" quotePrefix="0" xfId="0">
      <alignment vertical="center" wrapText="1" indent="1"/>
    </xf>
    <xf numFmtId="0" fontId="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0" customWidth="1" min="3" max="3"/>
    <col width="40" customWidth="1" min="4" max="4"/>
    <col width="30" customWidth="1" min="5" max="5"/>
    <col width="30" customWidth="1" min="6" max="6"/>
    <col width="30" customWidth="1" min="7" max="7"/>
    <col width="30" customWidth="1" min="8" max="8"/>
    <col width="15" customWidth="1" min="9" max="9"/>
  </cols>
  <sheetData>
    <row r="1">
      <c r="A1" s="1" t="inlineStr">
        <is>
          <t>카테고리</t>
        </is>
      </c>
      <c r="B1" s="1" t="inlineStr">
        <is>
          <t>ID</t>
        </is>
      </c>
      <c r="C1" s="1" t="inlineStr">
        <is>
          <t>결과</t>
        </is>
      </c>
      <c r="D1" s="1" t="inlineStr">
        <is>
          <t>질문</t>
        </is>
      </c>
      <c r="E1" s="1" t="inlineStr">
        <is>
          <t>검증 상세</t>
        </is>
      </c>
      <c r="F1" s="1" t="inlineStr">
        <is>
          <t>사고과정</t>
        </is>
      </c>
      <c r="G1" s="1" t="inlineStr">
        <is>
          <t>누적 호출(AST)</t>
        </is>
      </c>
      <c r="H1" s="1" t="inlineStr">
        <is>
          <t>정답(GT)</t>
        </is>
      </c>
      <c r="I1" s="1" t="inlineStr">
        <is>
          <t>Latency</t>
        </is>
      </c>
    </row>
    <row r="2">
      <c r="A2" s="2" t="inlineStr">
        <is>
          <t>simple_python</t>
        </is>
      </c>
      <c r="B2" s="2" t="inlineStr">
        <is>
          <t>simple_python_0</t>
        </is>
      </c>
      <c r="C2" s="3" t="inlineStr">
        <is>
          <t>FAIL</t>
        </is>
      </c>
      <c r="D2" s="2" t="inlineStr">
        <is>
          <t>Find the area of a triangle with a base of 10 units and height of 5 units.</t>
        </is>
      </c>
      <c r="E2" s="2" t="inlineStr">
        <is>
          <t>Step 0: Missing 'base', Missing 'height'</t>
        </is>
      </c>
      <c r="F2" s="2" t="inlineStr">
        <is>
          <t>N/A</t>
        </is>
      </c>
      <c r="G2" s="2" t="inlineStr">
        <is>
          <t>[{"calculate_triangle_area": "{\""}]</t>
        </is>
      </c>
      <c r="H2" s="2" t="inlineStr">
        <is>
          <t>[{"calculate_triangle_area": {"base": [10], "height": [5], "unit": ["units", ""]}}]</t>
        </is>
      </c>
      <c r="I2" s="2" t="n">
        <v>3696.07</v>
      </c>
    </row>
    <row r="3">
      <c r="A3" s="4" t="inlineStr">
        <is>
          <t>simple_javascript</t>
        </is>
      </c>
      <c r="B3" s="4" t="inlineStr">
        <is>
          <t>simple_javascript_0</t>
        </is>
      </c>
      <c r="C3" s="5" t="inlineStr">
        <is>
          <t>FAIL</t>
        </is>
      </c>
      <c r="D3" s="4" t="inlineStr">
        <is>
          <t>Help me validate user input in a form field with the ID 'userInputField' after the user has finished typing?</t>
        </is>
      </c>
      <c r="E3" s="4" t="inlineStr">
        <is>
          <t>❌ No tool calls generated</t>
        </is>
      </c>
      <c r="F3" s="4" t="inlineStr">
        <is>
          <t>N/A</t>
        </is>
      </c>
      <c r="G3" s="4" t="inlineStr">
        <is>
          <t>[]</t>
        </is>
      </c>
      <c r="H3" s="4" t="inlineStr">
        <is>
          <t>[{"validateUserInput": {"inputField": ["userInputField"], "isComplete": [true]}}]</t>
        </is>
      </c>
      <c r="I3" s="4" t="n">
        <v>813.58</v>
      </c>
    </row>
    <row r="4">
      <c r="A4" s="2" t="inlineStr">
        <is>
          <t>simple_java</t>
        </is>
      </c>
      <c r="B4" s="2" t="inlineStr">
        <is>
          <t>simple_java_0</t>
        </is>
      </c>
      <c r="C4" s="3" t="inlineStr">
        <is>
          <t>FAIL</t>
        </is>
      </c>
      <c r="D4" s="2" t="inlineStr">
        <is>
          <t>Help me initialize the GIS geometry presentation in a user interface, providing a specific result set controller `mapController` and a composite UI element `mapArea` to display the GIS data?</t>
        </is>
      </c>
      <c r="E4" s="2" t="inlineStr">
        <is>
          <t>❌ No tool calls generated</t>
        </is>
      </c>
      <c r="F4" s="2" t="inlineStr">
        <is>
          <t>N/A</t>
        </is>
      </c>
      <c r="G4" s="2" t="inlineStr">
        <is>
          <t>[]</t>
        </is>
      </c>
      <c r="H4" s="2" t="inlineStr">
        <is>
          <t>[{"GeometryPresentation.createPresentation": {"controller": ["mapController"], "parent": ["mapArea"]}}]</t>
        </is>
      </c>
      <c r="I4" s="2" t="n">
        <v>2521.62</v>
      </c>
    </row>
    <row r="5">
      <c r="A5" s="4" t="inlineStr">
        <is>
          <t>multiple</t>
        </is>
      </c>
      <c r="B5" s="4" t="inlineStr">
        <is>
          <t>multiple_0</t>
        </is>
      </c>
      <c r="C5" s="5" t="inlineStr">
        <is>
          <t>FAIL</t>
        </is>
      </c>
      <c r="D5" s="4" t="inlineStr">
        <is>
          <t>Can I find the dimensions and properties of a triangle, if I know its three sides are 5 units, 4 units and 3 units long?</t>
        </is>
      </c>
      <c r="E5" s="4" t="inlineStr">
        <is>
          <t>❌ No tool calls generated</t>
        </is>
      </c>
      <c r="F5" s="4" t="inlineStr">
        <is>
          <t>N/A</t>
        </is>
      </c>
      <c r="G5" s="4" t="inlineStr">
        <is>
          <t>[]</t>
        </is>
      </c>
      <c r="H5" s="4" t="inlineStr">
        <is>
          <t>[{"triangle_properties.get": {"side1": [5], "side2": [4], "side3": [3], "get_area": ["", true], "get_perimeter": ["", true], "get_angles": ["", true]}}]</t>
        </is>
      </c>
      <c r="I5" s="4" t="n">
        <v>7893.85</v>
      </c>
    </row>
    <row r="6">
      <c r="A6" s="2" t="inlineStr">
        <is>
          <t>parallel</t>
        </is>
      </c>
      <c r="B6" s="2" t="inlineStr">
        <is>
          <t>parallel_0</t>
        </is>
      </c>
      <c r="C6" s="6" t="inlineStr">
        <is>
          <t>PASS</t>
        </is>
      </c>
      <c r="D6" s="2" t="inlineStr">
        <is>
          <t>Play songs from the artists Taylor Swift and Maroon 5, with a play time of 20 minutes and 15 minutes respectively, on Spotify.</t>
        </is>
      </c>
      <c r="E6" s="2" t="inlineStr">
        <is>
          <t>Step 0: ✅ OK
Step 1: ✅ OK</t>
        </is>
      </c>
      <c r="F6" s="2" t="inlineStr">
        <is>
          <t>N/A</t>
        </is>
      </c>
      <c r="G6" s="2" t="inlineStr">
        <is>
          <t>[{"spotify.play": {"artist": "Taylor Swift", "duration": 20}}, {"spotify.play": {"artist": "Maroon 5", "duration": 15}}]</t>
        </is>
      </c>
      <c r="H6" s="2" t="inlineStr">
        <is>
          <t>[{"spotify.play": {"artist": ["Taylor Swift"], "duration": [20]}}, {"spotify.play": {"artist": ["Maroon 5"], "duration": [15]}}]</t>
        </is>
      </c>
      <c r="I6" s="2" t="n">
        <v>6983.6</v>
      </c>
    </row>
    <row r="7">
      <c r="A7" s="4" t="inlineStr">
        <is>
          <t>parallel_multiple</t>
        </is>
      </c>
      <c r="B7" s="4" t="inlineStr">
        <is>
          <t>parallel_multiple_0</t>
        </is>
      </c>
      <c r="C7" s="7" t="inlineStr">
        <is>
          <t>PASS</t>
        </is>
      </c>
      <c r="D7" s="4" t="inlineStr">
        <is>
          <t>Find the sum of all the multiples of 3 and 5 between 1 and 1000. Also find the product of the first five prime numbers.</t>
        </is>
      </c>
      <c r="E7" s="4" t="inlineStr">
        <is>
          <t>Step 0: ✅ OK
Step 1: ✅ OK</t>
        </is>
      </c>
      <c r="F7" s="4" t="inlineStr">
        <is>
          <t>N/A</t>
        </is>
      </c>
      <c r="G7" s="4" t="inlineStr">
        <is>
          <t>[{"math_toolkit.sum_of_multiples": {"lower_limit": 1, "multiples": [3, 5], "upper_limit": 1000}}, {"math_toolkit.product_of_primes": {"count": 5}}]</t>
        </is>
      </c>
      <c r="H7" s="4" t="inlineStr">
        <is>
          <t>[{"math_toolkit.sum_of_multiples": {"lower_limit": [1], "upper_limit": [1000], "multiples": [[3, 5]]}}, {"math_toolkit.product_of_primes": {"count": [5]}}]</t>
        </is>
      </c>
      <c r="I7" s="4" t="n">
        <v>6483.52</v>
      </c>
    </row>
    <row r="8">
      <c r="A8" s="2" t="inlineStr">
        <is>
          <t>live_simple</t>
        </is>
      </c>
      <c r="B8" s="2" t="inlineStr">
        <is>
          <t>live_simple_0-0-0</t>
        </is>
      </c>
      <c r="C8" s="6" t="inlineStr">
        <is>
          <t>PASS</t>
        </is>
      </c>
      <c r="D8" s="2" t="inlineStr">
        <is>
          <t>Can you retrieve the details for the user with the ID 7890, who has black as their special request?</t>
        </is>
      </c>
      <c r="E8" s="2" t="inlineStr">
        <is>
          <t>Step 0: ✅ OK</t>
        </is>
      </c>
      <c r="F8" s="2" t="inlineStr">
        <is>
          <t>N/A</t>
        </is>
      </c>
      <c r="G8" s="2" t="inlineStr">
        <is>
          <t>[{"get_user_info": {"user_id": 7890, "special": "black"}}]</t>
        </is>
      </c>
      <c r="H8" s="2" t="inlineStr">
        <is>
          <t>[{"get_user_info": {"user_id": [7890], "special": ["black"]}}]</t>
        </is>
      </c>
      <c r="I8" s="2" t="n">
        <v>793.0700000000001</v>
      </c>
    </row>
    <row r="9">
      <c r="A9" s="4" t="inlineStr">
        <is>
          <t>live_multiple</t>
        </is>
      </c>
      <c r="B9" s="4" t="inlineStr">
        <is>
          <t>live_multiple_0-0-0</t>
        </is>
      </c>
      <c r="C9" s="5" t="inlineStr">
        <is>
          <t>FAIL</t>
        </is>
      </c>
      <c r="D9" s="4" t="inlineStr">
        <is>
          <t>update my latte to a large size with coconut milk and make it extra sweet? make it served 'boiling hot' as the special request. The drink id is 'latte'</t>
        </is>
      </c>
      <c r="E9" s="4" t="inlineStr">
        <is>
          <t>❌ No tool calls generated</t>
        </is>
      </c>
      <c r="F9" s="4" t="inlineStr">
        <is>
          <t>N/A</t>
        </is>
      </c>
      <c r="G9" s="4" t="inlineStr">
        <is>
          <t>[]</t>
        </is>
      </c>
      <c r="H9" s="4" t="inlineStr">
        <is>
          <t>[{"ChaDri.change_drink": {"drink_id": ["latte"], "new_preferences": [{"size": ["large"], "milk_type": ["coconut"], "sweetness_level": ["extra"], "temperature": ["hot"], "special_instructions": ["served boiling hot", "serve boiling hot", "boiling hot", "served 'boiling hot'"]}]}}]</t>
        </is>
      </c>
      <c r="I9" s="4" t="n">
        <v>8973.959999999999</v>
      </c>
    </row>
    <row r="10">
      <c r="A10" s="2" t="inlineStr">
        <is>
          <t>live_parallel</t>
        </is>
      </c>
      <c r="B10" s="2" t="inlineStr">
        <is>
          <t>live_parallel_0-0-0</t>
        </is>
      </c>
      <c r="C10" s="3" t="inlineStr">
        <is>
          <t>FAIL</t>
        </is>
      </c>
      <c r="D10" s="2" t="inlineStr">
        <is>
          <t>请问北京的当前天气状况如何？还有，上海的天气情况是怎样的？</t>
        </is>
      </c>
      <c r="E10" s="2" t="inlineStr">
        <is>
          <t>❌ No tool calls generated</t>
        </is>
      </c>
      <c r="F10" s="2" t="inlineStr">
        <is>
          <t>N/A</t>
        </is>
      </c>
      <c r="G10" s="2" t="inlineStr">
        <is>
          <t>[]</t>
        </is>
      </c>
      <c r="H10" s="2" t="inlineStr">
        <is>
          <t>[{"get_current_weather": {"location": ["Beijing, China"], "unit": ["", "fahrenheit"]}}, {"get_current_weather": {"location": ["Shanghai, China"], "unit": ["", "fahrenheit"]}}]</t>
        </is>
      </c>
      <c r="I10" s="2" t="n">
        <v>7283.03</v>
      </c>
    </row>
    <row r="11">
      <c r="A11" s="4" t="inlineStr">
        <is>
          <t>live_parallel_multiple</t>
        </is>
      </c>
      <c r="B11" s="4" t="inlineStr">
        <is>
          <t>live_parallel_multiple_0-0-0</t>
        </is>
      </c>
      <c r="C11" s="7" t="inlineStr">
        <is>
          <t>PASS</t>
        </is>
      </c>
      <c r="D11" s="4" t="inlineStr">
        <is>
          <t>I'd like to change my food order to a Caesar salad without anchovies, and for the drink, can you update my order 123 to a large hot coffee with regular sweetness and almond milk, please?</t>
        </is>
      </c>
      <c r="E11" s="4" t="inlineStr">
        <is>
          <t>Step 0: ✅ OK
Step 1: ✅ OK</t>
        </is>
      </c>
      <c r="F11" s="4" t="inlineStr">
        <is>
          <t>N/A</t>
        </is>
      </c>
      <c r="G11" s="4" t="inlineStr">
        <is>
          <t>[{"ChaFod": {"foodItem": "Caesar salad", "removeIngredients": "anchovies"}}, {"ChaDri.change_drink": {"drink_id": "123", "new_preferences": {"size": "large", "temperature": "hot", "sweetness_level": "regular", "milk_type": "almond"}}}]</t>
        </is>
      </c>
      <c r="H11" s="4" t="inlineStr">
        <is>
          <t>[{"ChaFod": {"foodItem": ["Caesar salad"], "newIngredients": [""], "removeIngredients": ["anchovies", "anchovy"], "specialInstructions": [""]}}, {"ChaDri.change_drink": {"drink_id": ["123"], "new_preferences": [{"size": ["large"], "temperature": ["hot"], "sweetness_level": ["", "regular"], "milk_type": ["almond"], "special_instructions": [""]}]}}]</t>
        </is>
      </c>
      <c r="I11" s="4" t="n">
        <v>8387.32</v>
      </c>
    </row>
    <row r="12">
      <c r="A12" s="2" t="inlineStr">
        <is>
          <t>multi_turn_base</t>
        </is>
      </c>
      <c r="B12" s="2" t="inlineStr">
        <is>
          <t>multi_turn_base_0</t>
        </is>
      </c>
      <c r="C12" s="3" t="inlineStr">
        <is>
          <t>FAIL</t>
        </is>
      </c>
      <c r="D12" s="2" t="inlineStr">
        <is>
          <t>Move 'final_report.pdf' within document directory to 'temp' directory in document. Make sure to create the directory</t>
        </is>
      </c>
      <c r="E12" s="2" t="inlineStr">
        <is>
          <t>❌ No tool calls generated</t>
        </is>
      </c>
      <c r="F12" s="2" t="inlineStr">
        <is>
          <t>N/A</t>
        </is>
      </c>
      <c r="G12" s="2" t="inlineStr">
        <is>
          <t>[]</t>
        </is>
      </c>
      <c r="H12" s="2"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2" s="2" t="n">
        <v>3623.31</v>
      </c>
    </row>
    <row r="13">
      <c r="A13" s="4" t="inlineStr">
        <is>
          <t>multi_turn_miss_func</t>
        </is>
      </c>
      <c r="B13" s="4" t="inlineStr">
        <is>
          <t>multi_turn_miss_func_0</t>
        </is>
      </c>
      <c r="C13" s="5" t="inlineStr">
        <is>
          <t>FAIL</t>
        </is>
      </c>
      <c r="D13" s="4" t="inlineStr">
        <is>
          <t>Move 'final_report.pdf' within document directory to 'temp' directory in document. Make sure to create the directory</t>
        </is>
      </c>
      <c r="E13" s="4" t="inlineStr">
        <is>
          <t>❌ No tool calls generated</t>
        </is>
      </c>
      <c r="F13" s="4" t="inlineStr">
        <is>
          <t>N/A</t>
        </is>
      </c>
      <c r="G13" s="4" t="inlineStr">
        <is>
          <t>[]</t>
        </is>
      </c>
      <c r="H13" s="4" t="inlineStr">
        <is>
          <t>[["cd(folder='document')", "mkdir(dir_name='temp')", "mv(source='final_report.pdf', destination='temp')"], ["cd(folder='temp')", "grep(file_name='final_report.pdf',pattern='budget analysis')"], [], ["sort('final_report.pdf')"], ["cd(folder='..')", "mv(source='previous_report.pdf',destination='temp')", "cd(folder='temp')", "diff(file_name1='final_report.pdf',file_name2='previous_report.pdf')"]]</t>
        </is>
      </c>
      <c r="I13" s="4" t="n">
        <v>3353.04</v>
      </c>
    </row>
    <row r="14">
      <c r="A14" s="2" t="inlineStr">
        <is>
          <t>multi_turn_miss_param</t>
        </is>
      </c>
      <c r="B14" s="2" t="inlineStr">
        <is>
          <t>multi_turn_miss_param_0</t>
        </is>
      </c>
      <c r="C14" s="3" t="inlineStr">
        <is>
          <t>FAIL</t>
        </is>
      </c>
      <c r="D14" s="2" t="inlineStr">
        <is>
          <t>Move 'final_report.pdf' within document directory to 'temp' directory in document. Make sure to create the directory</t>
        </is>
      </c>
      <c r="E14" s="2" t="inlineStr">
        <is>
          <t>❌ No tool calls generated</t>
        </is>
      </c>
      <c r="F14" s="2" t="inlineStr">
        <is>
          <t>N/A</t>
        </is>
      </c>
      <c r="G14" s="2" t="inlineStr">
        <is>
          <t>[]</t>
        </is>
      </c>
      <c r="H14" s="2" t="inlineStr">
        <is>
          <t>[["cd(folder='document')", "mkdir(dir_name='temp')", "mv(source='final_report.pdf', destination='temp')"], ["cd(folder='temp')", "grep(file_name='final_report.pdf',pattern='budget analysis')"], ["sort('final_report.pdf')"], [], ["cd(folder='..')", "mv(source='previous_report.pdf',destination='temp')", "cd(folder='temp')", "diff(file_name1='final_report.pdf',file_name2='previous_report.pdf')"]]</t>
        </is>
      </c>
      <c r="I14" s="2" t="n">
        <v>1281.08</v>
      </c>
    </row>
    <row r="15">
      <c r="A15" s="4" t="inlineStr">
        <is>
          <t>multi_turn_long_context</t>
        </is>
      </c>
      <c r="B15" s="4" t="inlineStr">
        <is>
          <t>multi_turn_long_context_0</t>
        </is>
      </c>
      <c r="C15" s="5" t="inlineStr">
        <is>
          <t>FAIL</t>
        </is>
      </c>
      <c r="D15" s="4" t="inlineStr">
        <is>
          <t>Move 'final_report.pdf' within document directory to 'temp' directory in document. Make sure to create the directory</t>
        </is>
      </c>
      <c r="E15" s="4" t="inlineStr">
        <is>
          <t>❌ No tool calls generated</t>
        </is>
      </c>
      <c r="F15" s="4" t="inlineStr">
        <is>
          <t>N/A</t>
        </is>
      </c>
      <c r="G15" s="4" t="inlineStr">
        <is>
          <t>[]</t>
        </is>
      </c>
      <c r="H15" s="4"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5" s="4" t="n">
        <v>3927.23</v>
      </c>
    </row>
    <row r="16">
      <c r="A16" s="2" t="inlineStr">
        <is>
          <t>web_search</t>
        </is>
      </c>
      <c r="B16" s="2" t="inlineStr">
        <is>
          <t>web_search_0</t>
        </is>
      </c>
      <c r="C16" s="3" t="inlineStr">
        <is>
          <t>FAIL</t>
        </is>
      </c>
      <c r="D16" s="2" t="inlineStr">
        <is>
          <t>Some countries are known for producing luxury goods, including the world's most expensive tea. In April 2025, who is the richest billionaire (according to Forbes) from the country that produces the most expensive tea?</t>
        </is>
      </c>
      <c r="E16" s="2" t="inlineStr">
        <is>
          <t>❌ Answer mismatch (Expected: ['Zhang Yiming'])</t>
        </is>
      </c>
      <c r="F16" s="2" t="inlineStr">
        <is>
          <t>N/A</t>
        </is>
      </c>
      <c r="G16" s="2" t="inlineStr">
        <is>
          <t>[{"search_engine_query": {"keywords": "richest billionaire from country that produces most expensive tea April 2025", "max_results": 1, "region": "us-en"}}, {"search_engine_query": {"keywords": "country that produces most expensive tea", "max_results": 1, "region": "us-en"}}]</t>
        </is>
      </c>
      <c r="H16" s="2" t="inlineStr">
        <is>
          <t>["Zhang Yiming"]</t>
        </is>
      </c>
      <c r="I16" s="2" t="n">
        <v>1706.57</v>
      </c>
    </row>
    <row r="17">
      <c r="A17" s="4" t="inlineStr">
        <is>
          <t>memory</t>
        </is>
      </c>
      <c r="B17" s="4" t="inlineStr">
        <is>
          <t>memory_0-customer-0</t>
        </is>
      </c>
      <c r="C17" s="5" t="inlineStr">
        <is>
          <t>FAIL</t>
        </is>
      </c>
      <c r="D17" s="4" t="inlineStr">
        <is>
          <t>What is my first name?</t>
        </is>
      </c>
      <c r="E17" s="4" t="inlineStr">
        <is>
          <t>❌ Answer mismatch (Expected: ['Michael'])</t>
        </is>
      </c>
      <c r="F17" s="4" t="inlineStr">
        <is>
          <t>N/A</t>
        </is>
      </c>
      <c r="G17" s="4" t="inlineStr">
        <is>
          <t>[]</t>
        </is>
      </c>
      <c r="H17" s="4" t="inlineStr">
        <is>
          <t>["Michael"]</t>
        </is>
      </c>
      <c r="I17" s="4" t="n">
        <v>747.1799999999999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55" customWidth="1" min="3" max="3"/>
  </cols>
  <sheetData>
    <row r="1">
      <c r="A1" s="1" t="inlineStr">
        <is>
          <t>지표 (Metric)</t>
        </is>
      </c>
      <c r="B1" s="1" t="inlineStr">
        <is>
          <t>값 (Value)</t>
        </is>
      </c>
      <c r="C1" s="1" t="inlineStr">
        <is>
          <t>설명 (Description)</t>
        </is>
      </c>
    </row>
    <row r="2">
      <c r="A2" s="8" t="inlineStr">
        <is>
          <t>테스트 모델 (Model)</t>
        </is>
      </c>
      <c r="B2" s="9" t="inlineStr">
        <is>
          <t>meta-llama/llama-3.3-70b-instruct</t>
        </is>
      </c>
      <c r="C2" s="8" t="inlineStr">
        <is>
          <t>평가에 사용된 LLM 모델</t>
        </is>
      </c>
    </row>
    <row r="3">
      <c r="A3" t="inlineStr">
        <is>
          <t xml:space="preserve"> </t>
        </is>
      </c>
      <c r="B3" t="inlineStr">
        <is>
          <t xml:space="preserve"> </t>
        </is>
      </c>
      <c r="C3" t="inlineStr">
        <is>
          <t xml:space="preserve"> </t>
        </is>
      </c>
    </row>
    <row r="4">
      <c r="A4" s="10" t="inlineStr">
        <is>
          <t>전체 정확도 (Overall Accuracy)</t>
        </is>
      </c>
      <c r="B4" s="11">
        <f>ROUND(AVERAGE(VALUE(LEFT(B14,FIND("%",B14)-1)),VALUE(LEFT(B15,FIND("%",B15)-1)),VALUE(LEFT(B16,FIND("%",B16)-1)),VALUE(LEFT(B17,FIND("%",B17)-1)),VALUE(LEFT(B18,FIND("%",B18)-1)),VALUE(LEFT(B19,FIND("%",B19)-1)),VALUE(LEFT(B20,FIND("%",B20)-1)),VALUE(LEFT(B21,FIND("%",B21)-1)),VALUE(LEFT(B22,FIND("%",B22)-1)),VALUE(LEFT(B23,FIND("%",B23)-1)),VALUE(LEFT(B24,FIND("%",B24)-1)),VALUE(LEFT(B25,FIND("%",B25)-1)),VALUE(LEFT(B26,FIND("%",B26)-1)),VALUE(LEFT(B27,FIND("%",B27)-1)),VALUE(LEFT(B28,FIND("%",B28)-1)),VALUE(LEFT(B29,FIND("%",B29)-1))),1)&amp;"%"</f>
        <v/>
      </c>
      <c r="C4" s="8" t="inlineStr">
        <is>
          <t>모든 카테고리의 비가중 평균 (BFCL 표준)</t>
        </is>
      </c>
    </row>
    <row r="5">
      <c r="A5" s="12" t="inlineStr">
        <is>
          <t>📊 점수 산출 공식</t>
        </is>
      </c>
      <c r="B5" s="13" t="inlineStr">
        <is>
          <t>Σ(Category Acc) / N</t>
        </is>
      </c>
      <c r="C5" s="12" t="inlineStr">
        <is>
          <t>N = 카테고리 수, 각 카테고리에 동일한 가중치 부여</t>
        </is>
      </c>
    </row>
    <row r="6">
      <c r="A6" t="inlineStr">
        <is>
          <t xml:space="preserve"> </t>
        </is>
      </c>
      <c r="B6" t="inlineStr">
        <is>
          <t xml:space="preserve"> </t>
        </is>
      </c>
      <c r="C6" t="inlineStr">
        <is>
          <t xml:space="preserve"> </t>
        </is>
      </c>
    </row>
    <row r="7">
      <c r="A7" s="14" t="inlineStr">
        <is>
          <t>━━━ 그룹별 점수 (Group Scores) ━━━</t>
        </is>
      </c>
      <c r="B7" s="15" t="inlineStr">
        <is>
          <t xml:space="preserve"> </t>
        </is>
      </c>
      <c r="C7" s="16" t="inlineStr">
        <is>
          <t xml:space="preserve"> </t>
        </is>
      </c>
    </row>
    <row r="8">
      <c r="A8" s="8" t="inlineStr">
        <is>
          <t>AGENTIC (에이전트 기능)</t>
        </is>
      </c>
      <c r="B8" s="9">
        <f>ROUND(AVERAGE(VALUE(LEFT(B28,FIND("%",B28)-1)),VALUE(LEFT(B29,FIND("%",B29)-1))),1)&amp;"%"</f>
        <v/>
      </c>
      <c r="C8" s="8" t="inlineStr">
        <is>
          <t>AGENTIC 그룹 내 카테고리들의 평균 정확도</t>
        </is>
      </c>
    </row>
    <row r="9">
      <c r="A9" s="12" t="inlineStr">
        <is>
          <t>AST_LIVE (AST 실행 평가)</t>
        </is>
      </c>
      <c r="B9" s="13">
        <f>ROUND(AVERAGE(VALUE(LEFT(B20,FIND("%",B20)-1)),VALUE(LEFT(B21,FIND("%",B21)-1)),VALUE(LEFT(B22,FIND("%",B22)-1)),VALUE(LEFT(B23,FIND("%",B23)-1))),1)&amp;"%"</f>
        <v/>
      </c>
      <c r="C9" s="12" t="inlineStr">
        <is>
          <t>AST_LIVE 그룹 내 카테고리들의 평균 정확도</t>
        </is>
      </c>
    </row>
    <row r="10">
      <c r="A10" s="8" t="inlineStr">
        <is>
          <t>AST_NON_LIVE (AST 비실행 평가)</t>
        </is>
      </c>
      <c r="B10" s="9">
        <f>ROUND(AVERAGE(VALUE(LEFT(B14,FIND("%",B14)-1)),VALUE(LEFT(B15,FIND("%",B15)-1)),VALUE(LEFT(B16,FIND("%",B16)-1)),VALUE(LEFT(B17,FIND("%",B17)-1)),VALUE(LEFT(B18,FIND("%",B18)-1)),VALUE(LEFT(B19,FIND("%",B19)-1))),1)&amp;"%"</f>
        <v/>
      </c>
      <c r="C10" s="8" t="inlineStr">
        <is>
          <t>AST_NON_LIVE 그룹 내 카테고리들의 평균 정확도</t>
        </is>
      </c>
    </row>
    <row r="11">
      <c r="A11" s="12" t="inlineStr">
        <is>
          <t>MULTI_TURN (멀티턴 대화)</t>
        </is>
      </c>
      <c r="B11" s="13">
        <f>ROUND(AVERAGE(VALUE(LEFT(B24,FIND("%",B24)-1)),VALUE(LEFT(B25,FIND("%",B25)-1)),VALUE(LEFT(B26,FIND("%",B26)-1)),VALUE(LEFT(B27,FIND("%",B27)-1))),1)&amp;"%"</f>
        <v/>
      </c>
      <c r="C11" s="12" t="inlineStr">
        <is>
          <t>MULTI_TURN 그룹 내 카테고리들의 평균 정확도</t>
        </is>
      </c>
    </row>
    <row r="12">
      <c r="A12" t="inlineStr">
        <is>
          <t xml:space="preserve"> </t>
        </is>
      </c>
      <c r="B12" t="inlineStr">
        <is>
          <t xml:space="preserve"> </t>
        </is>
      </c>
      <c r="C12" t="inlineStr">
        <is>
          <t xml:space="preserve"> </t>
        </is>
      </c>
    </row>
    <row r="13">
      <c r="A13" s="14" t="inlineStr">
        <is>
          <t>━━━ 카테고리별 점수 (Category Scores) ━━━</t>
        </is>
      </c>
      <c r="B13" s="15" t="inlineStr">
        <is>
          <t xml:space="preserve"> </t>
        </is>
      </c>
      <c r="C13" s="16" t="inlineStr">
        <is>
          <t xml:space="preserve"> </t>
        </is>
      </c>
    </row>
    <row r="14">
      <c r="A14" s="8" t="inlineStr">
        <is>
          <t>simple_python (단일 Python)</t>
        </is>
      </c>
      <c r="B14" s="9">
        <f>IF(COUNTA('Detailed Results'!C2:C2)=0,0,ROUND(COUNTIF('Detailed Results'!C2:C2,"PASS")/COUNTA('Detailed Results'!C2:C2)*100,1))&amp;"%"&amp;" ("&amp;COUNTIF('Detailed Results'!C2:C2,"PASS")&amp;"/"&amp;COUNTA('Detailed Results'!C2:C2)&amp;")"</f>
        <v/>
      </c>
      <c r="C14" s="8" t="inlineStr">
        <is>
          <t>그룹: AST_NON_LIVE, 수식 자동 계산</t>
        </is>
      </c>
    </row>
    <row r="15">
      <c r="A15" s="12" t="inlineStr">
        <is>
          <t>simple_javascript (단일 JavaScript)</t>
        </is>
      </c>
      <c r="B15" s="13">
        <f>IF(COUNTA('Detailed Results'!C3:C3)=0,0,ROUND(COUNTIF('Detailed Results'!C3:C3,"PASS")/COUNTA('Detailed Results'!C3:C3)*100,1))&amp;"%"&amp;" ("&amp;COUNTIF('Detailed Results'!C3:C3,"PASS")&amp;"/"&amp;COUNTA('Detailed Results'!C3:C3)&amp;")"</f>
        <v/>
      </c>
      <c r="C15" s="12" t="inlineStr">
        <is>
          <t>그룹: AST_NON_LIVE, 수식 자동 계산</t>
        </is>
      </c>
    </row>
    <row r="16">
      <c r="A16" s="8" t="inlineStr">
        <is>
          <t>simple_java (단일 Java)</t>
        </is>
      </c>
      <c r="B16" s="9">
        <f>IF(COUNTA('Detailed Results'!C4:C4)=0,0,ROUND(COUNTIF('Detailed Results'!C4:C4,"PASS")/COUNTA('Detailed Results'!C4:C4)*100,1))&amp;"%"&amp;" ("&amp;COUNTIF('Detailed Results'!C4:C4,"PASS")&amp;"/"&amp;COUNTA('Detailed Results'!C4:C4)&amp;")"</f>
        <v/>
      </c>
      <c r="C16" s="8" t="inlineStr">
        <is>
          <t>그룹: AST_NON_LIVE, 수식 자동 계산</t>
        </is>
      </c>
    </row>
    <row r="17">
      <c r="A17" s="12" t="inlineStr">
        <is>
          <t>multiple (다중 파라미터)</t>
        </is>
      </c>
      <c r="B17" s="13">
        <f>IF(COUNTA('Detailed Results'!C5:C5)=0,0,ROUND(COUNTIF('Detailed Results'!C5:C5,"PASS")/COUNTA('Detailed Results'!C5:C5)*100,1))&amp;"%"&amp;" ("&amp;COUNTIF('Detailed Results'!C5:C5,"PASS")&amp;"/"&amp;COUNTA('Detailed Results'!C5:C5)&amp;")"</f>
        <v/>
      </c>
      <c r="C17" s="12" t="inlineStr">
        <is>
          <t>그룹: AST_NON_LIVE, 수식 자동 계산</t>
        </is>
      </c>
    </row>
    <row r="18">
      <c r="A18" s="8" t="inlineStr">
        <is>
          <t>parallel (병렬 호출)</t>
        </is>
      </c>
      <c r="B18" s="9">
        <f>IF(COUNTA('Detailed Results'!C6:C6)=0,0,ROUND(COUNTIF('Detailed Results'!C6:C6,"PASS")/COUNTA('Detailed Results'!C6:C6)*100,1))&amp;"%"&amp;" ("&amp;COUNTIF('Detailed Results'!C6:C6,"PASS")&amp;"/"&amp;COUNTA('Detailed Results'!C6:C6)&amp;")"</f>
        <v/>
      </c>
      <c r="C18" s="8" t="inlineStr">
        <is>
          <t>그룹: AST_NON_LIVE, 수식 자동 계산</t>
        </is>
      </c>
    </row>
    <row r="19">
      <c r="A19" s="12" t="inlineStr">
        <is>
          <t>parallel_multiple (병렬 다중)</t>
        </is>
      </c>
      <c r="B19" s="13">
        <f>IF(COUNTA('Detailed Results'!C7:C7)=0,0,ROUND(COUNTIF('Detailed Results'!C7:C7,"PASS")/COUNTA('Detailed Results'!C7:C7)*100,1))&amp;"%"&amp;" ("&amp;COUNTIF('Detailed Results'!C7:C7,"PASS")&amp;"/"&amp;COUNTA('Detailed Results'!C7:C7)&amp;")"</f>
        <v/>
      </c>
      <c r="C19" s="12" t="inlineStr">
        <is>
          <t>그룹: AST_NON_LIVE, 수식 자동 계산</t>
        </is>
      </c>
    </row>
    <row r="20">
      <c r="A20" s="8" t="inlineStr">
        <is>
          <t>live_simple (실행 단일)</t>
        </is>
      </c>
      <c r="B20" s="9">
        <f>IF(COUNTA('Detailed Results'!C8:C8)=0,0,ROUND(COUNTIF('Detailed Results'!C8:C8,"PASS")/COUNTA('Detailed Results'!C8:C8)*100,1))&amp;"%"&amp;" ("&amp;COUNTIF('Detailed Results'!C8:C8,"PASS")&amp;"/"&amp;COUNTA('Detailed Results'!C8:C8)&amp;")"</f>
        <v/>
      </c>
      <c r="C20" s="8" t="inlineStr">
        <is>
          <t>그룹: AST_LIVE, 수식 자동 계산</t>
        </is>
      </c>
    </row>
    <row r="21">
      <c r="A21" s="12" t="inlineStr">
        <is>
          <t>live_multiple (실행 다중)</t>
        </is>
      </c>
      <c r="B21" s="13">
        <f>IF(COUNTA('Detailed Results'!C9:C9)=0,0,ROUND(COUNTIF('Detailed Results'!C9:C9,"PASS")/COUNTA('Detailed Results'!C9:C9)*100,1))&amp;"%"&amp;" ("&amp;COUNTIF('Detailed Results'!C9:C9,"PASS")&amp;"/"&amp;COUNTA('Detailed Results'!C9:C9)&amp;")"</f>
        <v/>
      </c>
      <c r="C21" s="12" t="inlineStr">
        <is>
          <t>그룹: AST_LIVE, 수식 자동 계산</t>
        </is>
      </c>
    </row>
    <row r="22">
      <c r="A22" s="8" t="inlineStr">
        <is>
          <t>live_parallel (실행 병렬)</t>
        </is>
      </c>
      <c r="B22" s="9">
        <f>IF(COUNTA('Detailed Results'!C10:C10)=0,0,ROUND(COUNTIF('Detailed Results'!C10:C10,"PASS")/COUNTA('Detailed Results'!C10:C10)*100,1))&amp;"%"&amp;" ("&amp;COUNTIF('Detailed Results'!C10:C10,"PASS")&amp;"/"&amp;COUNTA('Detailed Results'!C10:C10)&amp;")"</f>
        <v/>
      </c>
      <c r="C22" s="8" t="inlineStr">
        <is>
          <t>그룹: AST_LIVE, 수식 자동 계산</t>
        </is>
      </c>
    </row>
    <row r="23">
      <c r="A23" s="12" t="inlineStr">
        <is>
          <t>live_parallel_multiple (실행 병렬 다중)</t>
        </is>
      </c>
      <c r="B23" s="13">
        <f>IF(COUNTA('Detailed Results'!C11:C11)=0,0,ROUND(COUNTIF('Detailed Results'!C11:C11,"PASS")/COUNTA('Detailed Results'!C11:C11)*100,1))&amp;"%"&amp;" ("&amp;COUNTIF('Detailed Results'!C11:C11,"PASS")&amp;"/"&amp;COUNTA('Detailed Results'!C11:C11)&amp;")"</f>
        <v/>
      </c>
      <c r="C23" s="12" t="inlineStr">
        <is>
          <t>그룹: AST_LIVE, 수식 자동 계산</t>
        </is>
      </c>
    </row>
    <row r="24">
      <c r="A24" s="8" t="inlineStr">
        <is>
          <t>multi_turn_base (멀티턴 기본)</t>
        </is>
      </c>
      <c r="B24" s="9">
        <f>IF(COUNTA('Detailed Results'!C12:C12)=0,0,ROUND(COUNTIF('Detailed Results'!C12:C12,"PASS")/COUNTA('Detailed Results'!C12:C12)*100,1))&amp;"%"&amp;" ("&amp;COUNTIF('Detailed Results'!C12:C12,"PASS")&amp;"/"&amp;COUNTA('Detailed Results'!C12:C12)&amp;")"</f>
        <v/>
      </c>
      <c r="C24" s="8" t="inlineStr">
        <is>
          <t>그룹: MULTI_TURN, 수식 자동 계산</t>
        </is>
      </c>
    </row>
    <row r="25">
      <c r="A25" s="12" t="inlineStr">
        <is>
          <t>multi_turn_miss_func (멀티턴 함수누락)</t>
        </is>
      </c>
      <c r="B25" s="13">
        <f>IF(COUNTA('Detailed Results'!C13:C13)=0,0,ROUND(COUNTIF('Detailed Results'!C13:C13,"PASS")/COUNTA('Detailed Results'!C13:C13)*100,1))&amp;"%"&amp;" ("&amp;COUNTIF('Detailed Results'!C13:C13,"PASS")&amp;"/"&amp;COUNTA('Detailed Results'!C13:C13)&amp;")"</f>
        <v/>
      </c>
      <c r="C25" s="12" t="inlineStr">
        <is>
          <t>그룹: MULTI_TURN, 수식 자동 계산</t>
        </is>
      </c>
    </row>
    <row r="26">
      <c r="A26" s="8" t="inlineStr">
        <is>
          <t>multi_turn_miss_param (멀티턴 파라미터누락)</t>
        </is>
      </c>
      <c r="B26" s="9">
        <f>IF(COUNTA('Detailed Results'!C14:C14)=0,0,ROUND(COUNTIF('Detailed Results'!C14:C14,"PASS")/COUNTA('Detailed Results'!C14:C14)*100,1))&amp;"%"&amp;" ("&amp;COUNTIF('Detailed Results'!C14:C14,"PASS")&amp;"/"&amp;COUNTA('Detailed Results'!C14:C14)&amp;")"</f>
        <v/>
      </c>
      <c r="C26" s="8" t="inlineStr">
        <is>
          <t>그룹: MULTI_TURN, 수식 자동 계산</t>
        </is>
      </c>
    </row>
    <row r="27">
      <c r="A27" s="12" t="inlineStr">
        <is>
          <t>multi_turn_long_context (멀티턴 긴컨텍스트)</t>
        </is>
      </c>
      <c r="B27" s="13">
        <f>IF(COUNTA('Detailed Results'!C15:C15)=0,0,ROUND(COUNTIF('Detailed Results'!C15:C15,"PASS")/COUNTA('Detailed Results'!C15:C15)*100,1))&amp;"%"&amp;" ("&amp;COUNTIF('Detailed Results'!C15:C15,"PASS")&amp;"/"&amp;COUNTA('Detailed Results'!C15:C15)&amp;")"</f>
        <v/>
      </c>
      <c r="C27" s="12" t="inlineStr">
        <is>
          <t>그룹: MULTI_TURN, 수식 자동 계산</t>
        </is>
      </c>
    </row>
    <row r="28">
      <c r="A28" s="8" t="inlineStr">
        <is>
          <t>web_search (웹 검색)</t>
        </is>
      </c>
      <c r="B28" s="9">
        <f>IF(COUNTA('Detailed Results'!C16:C16)=0,0,ROUND(COUNTIF('Detailed Results'!C16:C16,"PASS")/COUNTA('Detailed Results'!C16:C16)*100,1))&amp;"%"&amp;" ("&amp;COUNTIF('Detailed Results'!C16:C16,"PASS")&amp;"/"&amp;COUNTA('Detailed Results'!C16:C16)&amp;")"</f>
        <v/>
      </c>
      <c r="C28" s="8" t="inlineStr">
        <is>
          <t>그룹: AGENTIC, 수식 자동 계산</t>
        </is>
      </c>
    </row>
    <row r="29">
      <c r="A29" s="12" t="inlineStr">
        <is>
          <t>memory (메모리 관리)</t>
        </is>
      </c>
      <c r="B29" s="13">
        <f>IF(COUNTA('Detailed Results'!C17:C17)=0,0,ROUND(COUNTIF('Detailed Results'!C17:C17,"PASS")/COUNTA('Detailed Results'!C17:C17)*100,1))&amp;"%"&amp;" ("&amp;COUNTIF('Detailed Results'!C17:C17,"PASS")&amp;"/"&amp;COUNTA('Detailed Results'!C17:C17)&amp;")"</f>
        <v/>
      </c>
      <c r="C29" s="12" t="inlineStr">
        <is>
          <t>그룹: AGENTIC, 수식 자동 계산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0" customWidth="1" min="3" max="3"/>
    <col width="14" customWidth="1" min="4" max="4"/>
    <col width="60" customWidth="1" min="5" max="5"/>
  </cols>
  <sheetData>
    <row r="1">
      <c r="A1" s="17" t="inlineStr">
        <is>
          <t>카테고리 (Category)</t>
        </is>
      </c>
      <c r="B1" s="17" t="inlineStr">
        <is>
          <t>전체 개수
(Total Count)</t>
        </is>
      </c>
      <c r="C1" s="17" t="inlineStr">
        <is>
          <t>그룹
(Group)</t>
        </is>
      </c>
      <c r="D1" s="17" t="inlineStr">
        <is>
          <t>난이도
(Difficulty)</t>
        </is>
      </c>
      <c r="E1" s="17" t="inlineStr">
        <is>
          <t>설명 (Description)</t>
        </is>
      </c>
    </row>
    <row r="2">
      <c r="A2" s="8" t="inlineStr">
        <is>
          <t>simple_python
(단일 Python)</t>
        </is>
      </c>
      <c r="B2" s="9" t="n">
        <v>399</v>
      </c>
      <c r="C2" s="8" t="inlineStr">
        <is>
          <t>AST_NON_LIVE</t>
        </is>
      </c>
      <c r="D2" s="9" t="inlineStr">
        <is>
          <t>⭐</t>
        </is>
      </c>
      <c r="E2" s="8" t="inlineStr">
        <is>
          <t>기본 파라미터를 가진 단일 Python 함수 호출 | Single Python function call with basic parameters</t>
        </is>
      </c>
    </row>
    <row r="3">
      <c r="A3" s="12" t="inlineStr">
        <is>
          <t>simple_javascript
(단일 JavaScript)</t>
        </is>
      </c>
      <c r="B3" s="13" t="n">
        <v>49</v>
      </c>
      <c r="C3" s="12" t="inlineStr">
        <is>
          <t>AST_NON_LIVE</t>
        </is>
      </c>
      <c r="D3" s="13" t="inlineStr">
        <is>
          <t>⭐</t>
        </is>
      </c>
      <c r="E3" s="12" t="inlineStr">
        <is>
          <t>기본 파라미터를 가진 단일 JavaScript 함수 호출 | Single JavaScript function call with basic parameters</t>
        </is>
      </c>
    </row>
    <row r="4">
      <c r="A4" s="8" t="inlineStr">
        <is>
          <t>simple_java
(단일 Java)</t>
        </is>
      </c>
      <c r="B4" s="9" t="n">
        <v>99</v>
      </c>
      <c r="C4" s="8" t="inlineStr">
        <is>
          <t>AST_NON_LIVE</t>
        </is>
      </c>
      <c r="D4" s="9" t="inlineStr">
        <is>
          <t>⭐</t>
        </is>
      </c>
      <c r="E4" s="8" t="inlineStr">
        <is>
          <t>기본 파라미터를 가진 단일 Java 함수 호출 | Single Java function call with basic parameters</t>
        </is>
      </c>
    </row>
    <row r="5">
      <c r="A5" s="12" t="inlineStr">
        <is>
          <t>multiple
(다중 파라미터)</t>
        </is>
      </c>
      <c r="B5" s="13" t="n">
        <v>199</v>
      </c>
      <c r="C5" s="12" t="inlineStr">
        <is>
          <t>AST_NON_LIVE</t>
        </is>
      </c>
      <c r="D5" s="13" t="inlineStr">
        <is>
          <t>⭐⭐</t>
        </is>
      </c>
      <c r="E5" s="12" t="inlineStr">
        <is>
          <t>단일 함수에 여러 파라미터 전달 | Multiple parameters in single function call</t>
        </is>
      </c>
    </row>
    <row r="6">
      <c r="A6" s="8" t="inlineStr">
        <is>
          <t>parallel
(병렬 호출)</t>
        </is>
      </c>
      <c r="B6" s="9" t="n">
        <v>199</v>
      </c>
      <c r="C6" s="8" t="inlineStr">
        <is>
          <t>AST_NON_LIVE</t>
        </is>
      </c>
      <c r="D6" s="9" t="inlineStr">
        <is>
          <t>⭐⭐</t>
        </is>
      </c>
      <c r="E6" s="8" t="inlineStr">
        <is>
          <t>여러 함수를 병렬로 호출 (순서 무시) | Multiple functions called in parallel (order-independent)</t>
        </is>
      </c>
    </row>
    <row r="7">
      <c r="A7" s="12" t="inlineStr">
        <is>
          <t>parallel_multiple
(병렬 다중)</t>
        </is>
      </c>
      <c r="B7" s="13" t="n">
        <v>199</v>
      </c>
      <c r="C7" s="12" t="inlineStr">
        <is>
          <t>AST_NON_LIVE</t>
        </is>
      </c>
      <c r="D7" s="13" t="inlineStr">
        <is>
          <t>⭐⭐⭐</t>
        </is>
      </c>
      <c r="E7" s="12" t="inlineStr">
        <is>
          <t>여러 함수를 다중 파라미터로 병렬 호출 (순서 무시) | Multiple functions with multiple parameters in parallel (order-independent)</t>
        </is>
      </c>
    </row>
    <row r="8">
      <c r="A8" s="8" t="inlineStr">
        <is>
          <t>live_simple
(실행 단일)</t>
        </is>
      </c>
      <c r="B8" s="9" t="n">
        <v>257</v>
      </c>
      <c r="C8" s="8" t="inlineStr">
        <is>
          <t>AST_LIVE</t>
        </is>
      </c>
      <c r="D8" s="9" t="inlineStr">
        <is>
          <t>⭐⭐</t>
        </is>
      </c>
      <c r="E8" s="8" t="inlineStr">
        <is>
          <t>실제 API를 사용한 단순 함수 호출 | Simple function calls using live/real APIs</t>
        </is>
      </c>
    </row>
    <row r="9">
      <c r="A9" s="12" t="inlineStr">
        <is>
          <t>live_multiple
(실행 다중)</t>
        </is>
      </c>
      <c r="B9" s="13" t="n">
        <v>1052</v>
      </c>
      <c r="C9" s="12" t="inlineStr">
        <is>
          <t>AST_LIVE</t>
        </is>
      </c>
      <c r="D9" s="13" t="inlineStr">
        <is>
          <t>⭐⭐</t>
        </is>
      </c>
      <c r="E9" s="12" t="inlineStr">
        <is>
          <t>실제 API에 다중 파라미터 함수 | Multiple parameter functions with live APIs</t>
        </is>
      </c>
    </row>
    <row r="10">
      <c r="A10" s="8" t="inlineStr">
        <is>
          <t>live_parallel
(실행 병렬)</t>
        </is>
      </c>
      <c r="B10" s="9" t="n">
        <v>15</v>
      </c>
      <c r="C10" s="8" t="inlineStr">
        <is>
          <t>AST_LIVE</t>
        </is>
      </c>
      <c r="D10" s="9" t="inlineStr">
        <is>
          <t>⭐⭐⭐</t>
        </is>
      </c>
      <c r="E10" s="8" t="inlineStr">
        <is>
          <t>실제 API 병렬 함수 호출 (순서 무시) | Parallel function calls with live APIs (order-independent)</t>
        </is>
      </c>
    </row>
    <row r="11">
      <c r="A11" s="12" t="inlineStr">
        <is>
          <t>live_parallel_multiple
(실행 병렬 다중)</t>
        </is>
      </c>
      <c r="B11" s="13" t="n">
        <v>23</v>
      </c>
      <c r="C11" s="12" t="inlineStr">
        <is>
          <t>AST_LIVE</t>
        </is>
      </c>
      <c r="D11" s="13" t="inlineStr">
        <is>
          <t>⭐⭐⭐</t>
        </is>
      </c>
      <c r="E11" s="12" t="inlineStr">
        <is>
          <t>실제 API 복잡한 병렬 호출 (순서 무시) | Complex parallel calls with live APIs (order-independent)</t>
        </is>
      </c>
    </row>
    <row r="12">
      <c r="A12" s="8" t="inlineStr">
        <is>
          <t>multi_turn_base
(멀티턴 기본)</t>
        </is>
      </c>
      <c r="B12" s="9" t="n">
        <v>200</v>
      </c>
      <c r="C12" s="8" t="inlineStr">
        <is>
          <t>MULTI_TURN</t>
        </is>
      </c>
      <c r="D12" s="9" t="inlineStr">
        <is>
          <t>⭐⭐⭐</t>
        </is>
      </c>
      <c r="E12" s="8" t="inlineStr">
        <is>
          <t>기본 멀티턴 대화형 함수 호출 | Basic multi-turn conversational function calling</t>
        </is>
      </c>
    </row>
    <row r="13">
      <c r="A13" s="12" t="inlineStr">
        <is>
          <t>multi_turn_miss_func
(멀티턴 함수누락)</t>
        </is>
      </c>
      <c r="B13" s="13" t="n">
        <v>200</v>
      </c>
      <c r="C13" s="12" t="inlineStr">
        <is>
          <t>MULTI_TURN</t>
        </is>
      </c>
      <c r="D13" s="13" t="inlineStr">
        <is>
          <t>⭐⭐⭐</t>
        </is>
      </c>
      <c r="E13" s="12" t="inlineStr">
        <is>
          <t>함수 누락 처리가 필요한 멀티턴 | Multi-turn with missing function handling</t>
        </is>
      </c>
    </row>
    <row r="14">
      <c r="A14" s="8" t="inlineStr">
        <is>
          <t>multi_turn_miss_param
(멀티턴 파라미터누락)</t>
        </is>
      </c>
      <c r="B14" s="9" t="n">
        <v>200</v>
      </c>
      <c r="C14" s="8" t="inlineStr">
        <is>
          <t>MULTI_TURN</t>
        </is>
      </c>
      <c r="D14" s="9" t="inlineStr">
        <is>
          <t>⭐⭐⭐</t>
        </is>
      </c>
      <c r="E14" s="8" t="inlineStr">
        <is>
          <t>파라미터 누락 처리가 필요한 멀티턴 | Multi-turn with missing parameter handling</t>
        </is>
      </c>
    </row>
    <row r="15">
      <c r="A15" s="12" t="inlineStr">
        <is>
          <t>multi_turn_long_context
(멀티턴 긴컨텍스트)</t>
        </is>
      </c>
      <c r="B15" s="13" t="n">
        <v>200</v>
      </c>
      <c r="C15" s="12" t="inlineStr">
        <is>
          <t>MULTI_TURN</t>
        </is>
      </c>
      <c r="D15" s="13" t="inlineStr">
        <is>
          <t>⭐⭐⭐⭐</t>
        </is>
      </c>
      <c r="E15" s="12" t="inlineStr">
        <is>
          <t>긴 컨텍스트가 필요한 멀티턴 | Multi-turn with extended context requirements</t>
        </is>
      </c>
    </row>
    <row r="16">
      <c r="A16" s="8" t="inlineStr">
        <is>
          <t>irrelevance
(관련없음 탐지)</t>
        </is>
      </c>
      <c r="B16" s="9" t="n">
        <v>239</v>
      </c>
      <c r="C16" s="8" t="inlineStr">
        <is>
          <t>RELEVANCE</t>
        </is>
      </c>
      <c r="D16" s="9" t="inlineStr">
        <is>
          <t>⭐⭐</t>
        </is>
      </c>
      <c r="E16" s="8" t="inlineStr">
        <is>
          <t>함수를 호출하지 말아야 할 때 탐지 | Detecting when NOT to call any function</t>
        </is>
      </c>
    </row>
    <row r="17">
      <c r="A17" s="12" t="inlineStr">
        <is>
          <t>live_irrelevance
(실행 관련없음)</t>
        </is>
      </c>
      <c r="B17" s="13" t="n">
        <v>884</v>
      </c>
      <c r="C17" s="12" t="inlineStr">
        <is>
          <t>RELEVANCE</t>
        </is>
      </c>
      <c r="D17" s="13" t="inlineStr">
        <is>
          <t>⭐⭐</t>
        </is>
      </c>
      <c r="E17" s="12" t="inlineStr">
        <is>
          <t>실제 API에서 관련없는 함수 호출 회피 | Avoiding irrelevant function calls with live APIs</t>
        </is>
      </c>
    </row>
    <row r="18">
      <c r="A18" s="8" t="inlineStr">
        <is>
          <t>live_relevance
(실행 관련성)</t>
        </is>
      </c>
      <c r="B18" s="9" t="n">
        <v>16</v>
      </c>
      <c r="C18" s="8" t="inlineStr">
        <is>
          <t>RELEVANCE</t>
        </is>
      </c>
      <c r="D18" s="9" t="inlineStr">
        <is>
          <t>⭐⭐</t>
        </is>
      </c>
      <c r="E18" s="8" t="inlineStr">
        <is>
          <t>실제 API에서 관련 있는 함수 탐지 | Detecting relevant functions with live APIs</t>
        </is>
      </c>
    </row>
    <row r="19">
      <c r="A19" s="12" t="inlineStr">
        <is>
          <t>web_search
(웹 검색)</t>
        </is>
      </c>
      <c r="B19" s="13" t="n">
        <v>99</v>
      </c>
      <c r="C19" s="12" t="inlineStr">
        <is>
          <t>AGENTIC</t>
        </is>
      </c>
      <c r="D19" s="13" t="inlineStr">
        <is>
          <t>⭐⭐⭐</t>
        </is>
      </c>
      <c r="E19" s="12" t="inlineStr">
        <is>
          <t>웹 검색 에이전트 기능 | Web search agent capabilities</t>
        </is>
      </c>
    </row>
    <row r="20">
      <c r="A20" s="8" t="inlineStr">
        <is>
          <t>memory
(메모리 관리)</t>
        </is>
      </c>
      <c r="B20" s="9" t="n">
        <v>155</v>
      </c>
      <c r="C20" s="8" t="inlineStr">
        <is>
          <t>AGENTIC</t>
        </is>
      </c>
      <c r="D20" s="9" t="inlineStr">
        <is>
          <t>⭐⭐⭐</t>
        </is>
      </c>
      <c r="E20" s="8" t="inlineStr">
        <is>
          <t>대화 메모리 관리 및 컨텍스트 유지 | Memory management and context retention</t>
        </is>
      </c>
    </row>
    <row r="21">
      <c r="A21" s="12" t="inlineStr">
        <is>
          <t>format_sensitivity
(포맷 민감도)</t>
        </is>
      </c>
      <c r="B21" s="13" t="n">
        <v>9</v>
      </c>
      <c r="C21" s="12" t="inlineStr">
        <is>
          <t>AGENTIC</t>
        </is>
      </c>
      <c r="D21" s="13" t="inlineStr">
        <is>
          <t>⭐⭐</t>
        </is>
      </c>
      <c r="E21" s="12" t="inlineStr">
        <is>
          <t>다양한 입력 포맷에 대한 민감도 | Sensitivity to various input formats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2" customWidth="1" min="1" max="1"/>
    <col width="85" customWidth="1" min="2" max="2"/>
  </cols>
  <sheetData>
    <row r="1">
      <c r="A1" s="1" t="inlineStr">
        <is>
          <t>구분 (Section)</t>
        </is>
      </c>
      <c r="B1" s="1" t="inlineStr">
        <is>
          <t>내용 (Content)</t>
        </is>
      </c>
    </row>
    <row r="2">
      <c r="A2" s="8" t="inlineStr">
        <is>
          <t>📊 BFCL 공식 (Official)</t>
        </is>
      </c>
      <c r="B2" s="8" t="inlineStr">
        <is>
          <t>Berkeley Function Calling Leaderboard (BFCL)</t>
        </is>
      </c>
    </row>
    <row r="3">
      <c r="A3" s="12" t="inlineStr">
        <is>
          <t>🌐 웹사이트 (Website)</t>
        </is>
      </c>
      <c r="B3" s="12" t="inlineStr">
        <is>
          <t>https://gorilla.cs.berkeley.edu/leaderboard.html</t>
        </is>
      </c>
    </row>
    <row r="4">
      <c r="A4" s="8" t="inlineStr">
        <is>
          <t>💻 GitHub</t>
        </is>
      </c>
      <c r="B4" s="8" t="inlineStr">
        <is>
          <t>https://github.com/ShishirPatil/gorilla/tree/main/berkeley-function-call-leaderboard</t>
        </is>
      </c>
    </row>
    <row r="5">
      <c r="A5" s="12" t="inlineStr">
        <is>
          <t>📁 Dataset</t>
        </is>
      </c>
      <c r="B5" s="12" t="inlineStr">
        <is>
          <t>https://huggingface.co/datasets/gorilla-llm/Berkeley-Function-Calling-Leaderboard</t>
        </is>
      </c>
    </row>
    <row r="6">
      <c r="A6" t="inlineStr">
        <is>
          <t xml:space="preserve"> </t>
        </is>
      </c>
      <c r="B6" t="inlineStr">
        <is>
          <t xml:space="preserve"> </t>
        </is>
      </c>
    </row>
    <row r="7">
      <c r="A7" s="14" t="inlineStr">
        <is>
          <t>━━━ 평가 방법 (Evaluation Methods) ━━━</t>
        </is>
      </c>
      <c r="B7" s="16" t="inlineStr">
        <is>
          <t xml:space="preserve"> </t>
        </is>
      </c>
    </row>
    <row r="8">
      <c r="A8" s="8" t="inlineStr">
        <is>
          <t>🌳 AST 평가</t>
        </is>
      </c>
      <c r="B8" s="8" t="inlineStr">
        <is>
          <t>추상 구문 트리 비교 (Abstract Syntax Tree comparison for structural correctness)</t>
        </is>
      </c>
    </row>
    <row r="9">
      <c r="A9" s="12" t="inlineStr">
        <is>
          <t>⚙️ 실행 평가</t>
        </is>
      </c>
      <c r="B9" s="12" t="inlineStr">
        <is>
          <t>REST API 및 Python 함수 실제 실행 (Actual execution for REST APIs and Python functions)</t>
        </is>
      </c>
    </row>
    <row r="10">
      <c r="A10" s="8" t="inlineStr">
        <is>
          <t>✅ 관련성 탐지</t>
        </is>
      </c>
      <c r="B10" s="8" t="inlineStr">
        <is>
          <t>관련 없는 함수 호출 회피 능력 (Ability to avoid irrelevant function calls)</t>
        </is>
      </c>
    </row>
    <row r="11">
      <c r="A11" s="12" t="inlineStr">
        <is>
          <t>🔀 병렬 호출 순서</t>
        </is>
      </c>
      <c r="B11" s="12" t="inlineStr">
        <is>
          <t>BFCL 표준: 병렬(parallel) 카테고리는 호출 순서 무시. 집합처럼 매칭 (Order-independent matching for parallel function calls)</t>
        </is>
      </c>
    </row>
    <row r="12">
      <c r="A12" t="inlineStr">
        <is>
          <t xml:space="preserve"> </t>
        </is>
      </c>
      <c r="B12" t="inlineStr">
        <is>
          <t xml:space="preserve"> </t>
        </is>
      </c>
    </row>
    <row r="13">
      <c r="A13" s="14" t="inlineStr">
        <is>
          <t>━━━ 점수 산출 (Scoring) ━━━</t>
        </is>
      </c>
      <c r="B13" s="16" t="inlineStr">
        <is>
          <t xml:space="preserve"> </t>
        </is>
      </c>
    </row>
    <row r="14">
      <c r="A14" s="8" t="inlineStr">
        <is>
          <t>📈 전체 정확도</t>
        </is>
      </c>
      <c r="B14" s="8" t="inlineStr">
        <is>
          <t>Overall Accuracy = Σ(Category Accuracy) / N (모든 카테고리의 비가중 평균)</t>
        </is>
      </c>
    </row>
    <row r="15">
      <c r="A15" s="12" t="inlineStr">
        <is>
          <t>📊 카테고리 정확도</t>
        </is>
      </c>
      <c r="B15" s="12" t="inlineStr">
        <is>
          <t>Category Accuracy = (PASS count / Total count) × 100%</t>
        </is>
      </c>
    </row>
    <row r="16">
      <c r="A16" s="8" t="inlineStr">
        <is>
          <t>📂 그룹 정확도</t>
        </is>
      </c>
      <c r="B16" s="8" t="inlineStr">
        <is>
          <t>Group Accuracy = 동일 그룹 내 카테고리들의 평균 (Average of categories within same group)</t>
        </is>
      </c>
    </row>
    <row r="17">
      <c r="A17" t="inlineStr">
        <is>
          <t xml:space="preserve"> </t>
        </is>
      </c>
      <c r="B17" t="inlineStr">
        <is>
          <t xml:space="preserve"> </t>
        </is>
      </c>
    </row>
    <row r="18">
      <c r="A18" s="14" t="inlineStr">
        <is>
          <t>━━━ 논문 (Papers) ━━━</t>
        </is>
      </c>
      <c r="B18" s="16" t="inlineStr">
        <is>
          <t xml:space="preserve"> </t>
        </is>
      </c>
    </row>
    <row r="19">
      <c r="A19" s="12" t="inlineStr">
        <is>
          <t>📄 BFCL v1</t>
        </is>
      </c>
      <c r="B19" s="12" t="inlineStr">
        <is>
          <t>AST 평가 메트릭 도입 (Introducing AST evaluation metric)</t>
        </is>
      </c>
    </row>
    <row r="20">
      <c r="A20" s="8" t="inlineStr">
        <is>
          <t>📄 BFCL v2</t>
        </is>
      </c>
      <c r="B20" s="8" t="inlineStr">
        <is>
          <t>기업 및 OSS 기여 함수 (Enterprise and OSS-contributed functions)</t>
        </is>
      </c>
    </row>
    <row r="21">
      <c r="A21" s="12" t="inlineStr">
        <is>
          <t>📄 BFCL v3</t>
        </is>
      </c>
      <c r="B21" s="12" t="inlineStr">
        <is>
          <t>멀티턴 상호작용 (Multi-turn interactions)</t>
        </is>
      </c>
    </row>
    <row r="22">
      <c r="A22" s="8" t="inlineStr">
        <is>
          <t>📄 BFCL v4</t>
        </is>
      </c>
      <c r="B22" s="8" t="inlineStr">
        <is>
          <t>종합적 에이전트 평가 (Holistic agentic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2026-01-21T06:25:34Z</dcterms:created>
  <dcterms:modified xmlns:dcterms="http://purl.org/dc/terms/" xmlns:xsi="http://www.w3.org/2001/XMLSchema-instance" xsi:type="dcterms:W3CDTF">2026-01-21T06:25:34Z</dcterms:modified>
</cp:coreProperties>
</file>