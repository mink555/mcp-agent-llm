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ed Results" sheetId="1" state="visible" r:id="rId1"/>
    <sheet xmlns:r="http://schemas.openxmlformats.org/officeDocument/2006/relationships" name="Summary (BFCL)" sheetId="2" state="visible" r:id="rId2"/>
    <sheet xmlns:r="http://schemas.openxmlformats.org/officeDocument/2006/relationships" name="Dataset Info" sheetId="3" state="visible" r:id="rId3"/>
    <sheet xmlns:r="http://schemas.openxmlformats.org/officeDocument/2006/relationships" name="Reference" sheetId="4" state="visible" r:id="rId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font>
    <font>
      <b val="1"/>
      <color rgb="002E7D32"/>
    </font>
    <font>
      <b val="1"/>
      <color rgb="00D32F2F"/>
    </font>
    <font>
      <b val="1"/>
      <sz val="11"/>
    </font>
    <font>
      <b val="1"/>
      <color rgb="002E7D32"/>
      <sz val="12"/>
    </font>
    <font>
      <b val="1"/>
      <color rgb="00333333"/>
    </font>
  </fonts>
  <fills count="5">
    <fill>
      <patternFill/>
    </fill>
    <fill>
      <patternFill patternType="gray125"/>
    </fill>
    <fill>
      <patternFill patternType="solid">
        <fgColor rgb="00F2F2F2"/>
        <bgColor rgb="00F2F2F2"/>
      </patternFill>
    </fill>
    <fill>
      <patternFill patternType="solid">
        <fgColor rgb="00FAFAFA"/>
        <bgColor rgb="00FAFAFA"/>
      </patternFill>
    </fill>
    <fill>
      <patternFill patternType="solid">
        <fgColor rgb="00E7E6E6"/>
        <bgColor rgb="00E7E6E6"/>
      </patternFill>
    </fill>
  </fills>
  <borders count="3">
    <border>
      <left/>
      <right/>
      <top/>
      <bottom/>
      <diagonal/>
    </border>
    <border>
      <left style="thin"/>
      <right style="thin"/>
      <top style="thin"/>
      <bottom style="thin"/>
    </border>
    <border>
      <left style="thin">
        <color rgb="00E0E0E0"/>
      </left>
      <right style="thin">
        <color rgb="00E0E0E0"/>
      </right>
      <top style="thin">
        <color rgb="00E0E0E0"/>
      </top>
      <bottom style="thin">
        <color rgb="00E0E0E0"/>
      </bottom>
    </border>
  </borders>
  <cellStyleXfs count="1">
    <xf numFmtId="0" fontId="0" fillId="0" borderId="0"/>
  </cellStyleXfs>
  <cellXfs count="18">
    <xf numFmtId="0" fontId="0" fillId="0" borderId="0" pivotButton="0" quotePrefix="0" xfId="0"/>
    <xf numFmtId="0" fontId="1" fillId="2" borderId="2" applyAlignment="1" pivotButton="0" quotePrefix="0" xfId="0">
      <alignment horizontal="center" vertical="center"/>
    </xf>
    <xf numFmtId="0" fontId="0" fillId="3" borderId="2" applyAlignment="1" pivotButton="0" quotePrefix="0" xfId="0">
      <alignment vertical="top" wrapText="1" indent="1"/>
    </xf>
    <xf numFmtId="0" fontId="2" fillId="3" borderId="2" applyAlignment="1" pivotButton="0" quotePrefix="0" xfId="0">
      <alignment horizontal="center" vertical="center"/>
    </xf>
    <xf numFmtId="0" fontId="0" fillId="0" borderId="2" applyAlignment="1" pivotButton="0" quotePrefix="0" xfId="0">
      <alignment vertical="top" wrapText="1" indent="1"/>
    </xf>
    <xf numFmtId="0" fontId="2" fillId="0" borderId="2" applyAlignment="1" pivotButton="0" quotePrefix="0" xfId="0">
      <alignment horizontal="center" vertical="center"/>
    </xf>
    <xf numFmtId="0" fontId="3" fillId="3" borderId="2" applyAlignment="1" pivotButton="0" quotePrefix="0" xfId="0">
      <alignment horizontal="center" vertical="center"/>
    </xf>
    <xf numFmtId="0" fontId="3" fillId="0" borderId="2" applyAlignment="1" pivotButton="0" quotePrefix="0" xfId="0">
      <alignment horizontal="center" vertical="center"/>
    </xf>
    <xf numFmtId="0" fontId="0" fillId="3" borderId="2" applyAlignment="1" pivotButton="0" quotePrefix="0" xfId="0">
      <alignment vertical="center" wrapText="1" indent="1"/>
    </xf>
    <xf numFmtId="0" fontId="0" fillId="3" borderId="2" applyAlignment="1" pivotButton="0" quotePrefix="0" xfId="0">
      <alignment horizontal="center" vertical="center"/>
    </xf>
    <xf numFmtId="0" fontId="4" fillId="3" borderId="2" applyAlignment="1" pivotButton="0" quotePrefix="0" xfId="0">
      <alignment vertical="center" wrapText="1" indent="1"/>
    </xf>
    <xf numFmtId="0" fontId="5" fillId="3" borderId="2" applyAlignment="1" pivotButton="0" quotePrefix="0" xfId="0">
      <alignment horizontal="center" vertical="center"/>
    </xf>
    <xf numFmtId="0" fontId="0" fillId="0" borderId="2" applyAlignment="1" pivotButton="0" quotePrefix="0" xfId="0">
      <alignment vertical="center" wrapText="1" indent="1"/>
    </xf>
    <xf numFmtId="0" fontId="0" fillId="0" borderId="2" applyAlignment="1" pivotButton="0" quotePrefix="0" xfId="0">
      <alignment horizontal="center" vertical="center"/>
    </xf>
    <xf numFmtId="0" fontId="6" fillId="4" borderId="2" applyAlignment="1" pivotButton="0" quotePrefix="0" xfId="0">
      <alignment vertical="center" wrapText="1" indent="1"/>
    </xf>
    <xf numFmtId="0" fontId="0" fillId="4" borderId="2" applyAlignment="1" pivotButton="0" quotePrefix="0" xfId="0">
      <alignment horizontal="center" vertical="center"/>
    </xf>
    <xf numFmtId="0" fontId="0" fillId="4" borderId="2" applyAlignment="1" pivotButton="0" quotePrefix="0" xfId="0">
      <alignment vertical="center" wrapText="1" indent="1"/>
    </xf>
    <xf numFmtId="0" fontId="1" fillId="2"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0" customWidth="1" min="3" max="3"/>
    <col width="40" customWidth="1" min="4" max="4"/>
    <col width="30" customWidth="1" min="5" max="5"/>
    <col width="30" customWidth="1" min="6" max="6"/>
    <col width="30" customWidth="1" min="7" max="7"/>
    <col width="30" customWidth="1" min="8" max="8"/>
    <col width="15" customWidth="1" min="9" max="9"/>
  </cols>
  <sheetData>
    <row r="1">
      <c r="A1" s="1" t="inlineStr">
        <is>
          <t>카테고리</t>
        </is>
      </c>
      <c r="B1" s="1" t="inlineStr">
        <is>
          <t>ID</t>
        </is>
      </c>
      <c r="C1" s="1" t="inlineStr">
        <is>
          <t>결과</t>
        </is>
      </c>
      <c r="D1" s="1" t="inlineStr">
        <is>
          <t>질문</t>
        </is>
      </c>
      <c r="E1" s="1" t="inlineStr">
        <is>
          <t>검증 상세</t>
        </is>
      </c>
      <c r="F1" s="1" t="inlineStr">
        <is>
          <t>사고과정</t>
        </is>
      </c>
      <c r="G1" s="1" t="inlineStr">
        <is>
          <t>누적 호출(AST)</t>
        </is>
      </c>
      <c r="H1" s="1" t="inlineStr">
        <is>
          <t>정답(GT)</t>
        </is>
      </c>
      <c r="I1" s="1" t="inlineStr">
        <is>
          <t>Latency</t>
        </is>
      </c>
    </row>
    <row r="2">
      <c r="A2" s="2" t="inlineStr">
        <is>
          <t>simple_python</t>
        </is>
      </c>
      <c r="B2" s="2" t="inlineStr">
        <is>
          <t>simple_python_0</t>
        </is>
      </c>
      <c r="C2" s="3" t="inlineStr">
        <is>
          <t>PASS</t>
        </is>
      </c>
      <c r="D2" s="2" t="inlineStr">
        <is>
          <t>Find the area of a triangle with a base of 10 units and height of 5 units.</t>
        </is>
      </c>
      <c r="E2" s="2" t="inlineStr">
        <is>
          <t>Step 0: ✅ OK</t>
        </is>
      </c>
      <c r="F2" s="2" t="inlineStr">
        <is>
          <t>N/A</t>
        </is>
      </c>
      <c r="G2" s="2" t="inlineStr">
        <is>
          <t>[{"calculate_triangle_area": {"base": 10, "height": 5, "unit": "units"}}]</t>
        </is>
      </c>
      <c r="H2" s="2" t="inlineStr">
        <is>
          <t>[{"calculate_triangle_area": {"base": [10], "height": [5], "unit": ["units", ""]}}]</t>
        </is>
      </c>
      <c r="I2" s="2" t="n">
        <v>1998.03</v>
      </c>
    </row>
    <row r="3">
      <c r="A3" s="4" t="inlineStr">
        <is>
          <t>multiple</t>
        </is>
      </c>
      <c r="B3" s="4" t="inlineStr">
        <is>
          <t>multiple_0</t>
        </is>
      </c>
      <c r="C3" s="5" t="inlineStr">
        <is>
          <t>PASS</t>
        </is>
      </c>
      <c r="D3" s="4" t="inlineStr">
        <is>
          <t>Can I find the dimensions and properties of a triangle, if I know its three sides are 5 units, 4 units and 3 units long?</t>
        </is>
      </c>
      <c r="E3" s="4" t="inlineStr">
        <is>
          <t>Step 0: ✅ OK</t>
        </is>
      </c>
      <c r="F3" s="4" t="inlineStr">
        <is>
          <t>N/A</t>
        </is>
      </c>
      <c r="G3" s="4" t="inlineStr">
        <is>
          <t>[{"triangle_properties.get": {"side1": 5, "side2": 4, "side3": 3}}]</t>
        </is>
      </c>
      <c r="H3" s="4" t="inlineStr">
        <is>
          <t>[{"triangle_properties.get": {"side1": [5], "side2": [4], "side3": [3], "get_area": ["", true], "get_perimeter": ["", true], "get_angles": ["", true]}}]</t>
        </is>
      </c>
      <c r="I3" s="4" t="n">
        <v>1525.8</v>
      </c>
    </row>
    <row r="4">
      <c r="A4" s="2" t="inlineStr">
        <is>
          <t>parallel</t>
        </is>
      </c>
      <c r="B4" s="2" t="inlineStr">
        <is>
          <t>parallel_0</t>
        </is>
      </c>
      <c r="C4" s="3" t="inlineStr">
        <is>
          <t>PASS</t>
        </is>
      </c>
      <c r="D4" s="2" t="inlineStr">
        <is>
          <t>Play songs from the artists Taylor Swift and Maroon 5, with a play time of 20 minutes and 15 minutes respectively, on Spotify.</t>
        </is>
      </c>
      <c r="E4" s="2" t="inlineStr">
        <is>
          <t>Step 0: ✅ OK
Step 1: ✅ OK</t>
        </is>
      </c>
      <c r="F4" s="2" t="inlineStr">
        <is>
          <t>N/A</t>
        </is>
      </c>
      <c r="G4" s="2" t="inlineStr">
        <is>
          <t>[{"spotify.play": {"artist": "Taylor Swift", "duration": 20}}, {"spotify.play": {"artist": "Maroon 5", "duration": 15}}]</t>
        </is>
      </c>
      <c r="H4" s="2" t="inlineStr">
        <is>
          <t>[{"spotify.play": {"artist": ["Taylor Swift"], "duration": [20]}}, {"spotify.play": {"artist": ["Maroon 5"], "duration": [15]}}]</t>
        </is>
      </c>
      <c r="I4" s="2" t="n">
        <v>1245.29</v>
      </c>
    </row>
    <row r="5">
      <c r="A5" s="4" t="inlineStr">
        <is>
          <t>parallel_multiple</t>
        </is>
      </c>
      <c r="B5" s="4" t="inlineStr">
        <is>
          <t>parallel_multiple_0</t>
        </is>
      </c>
      <c r="C5" s="5" t="inlineStr">
        <is>
          <t>PASS</t>
        </is>
      </c>
      <c r="D5" s="4" t="inlineStr">
        <is>
          <t>Find the sum of all the multiples of 3 and 5 between 1 and 1000. Also find the product of the first five prime numbers.</t>
        </is>
      </c>
      <c r="E5" s="4" t="inlineStr">
        <is>
          <t>Step 0: ✅ OK
Step 1: ✅ OK</t>
        </is>
      </c>
      <c r="F5" s="4" t="inlineStr">
        <is>
          <t>N/A</t>
        </is>
      </c>
      <c r="G5" s="4" t="inlineStr">
        <is>
          <t>[{"math_toolkit.sum_of_multiples": {"lower_limit": 1, "upper_limit": 1000, "multiples": [3, 5]}}, {"math_toolkit.product_of_primes": {"count": 5}}]</t>
        </is>
      </c>
      <c r="H5" s="4" t="inlineStr">
        <is>
          <t>[{"math_toolkit.sum_of_multiples": {"lower_limit": [1], "upper_limit": [1000], "multiples": [[3, 5]]}}, {"math_toolkit.product_of_primes": {"count": [5]}}]</t>
        </is>
      </c>
      <c r="I5" s="4" t="n">
        <v>1306.08</v>
      </c>
    </row>
    <row r="6">
      <c r="A6" s="2" t="inlineStr">
        <is>
          <t>live_simple</t>
        </is>
      </c>
      <c r="B6" s="2" t="inlineStr">
        <is>
          <t>live_simple_0-0-0</t>
        </is>
      </c>
      <c r="C6" s="3" t="inlineStr">
        <is>
          <t>PASS</t>
        </is>
      </c>
      <c r="D6" s="2" t="inlineStr">
        <is>
          <t>Can you retrieve the details for the user with the ID 7890, who has black as their special request?</t>
        </is>
      </c>
      <c r="E6" s="2" t="inlineStr">
        <is>
          <t>Step 0: ✅ OK</t>
        </is>
      </c>
      <c r="F6" s="2" t="inlineStr">
        <is>
          <t>N/A</t>
        </is>
      </c>
      <c r="G6" s="2" t="inlineStr">
        <is>
          <t>[{"get_user_info": {"user_id": 7890, "special": "black"}}]</t>
        </is>
      </c>
      <c r="H6" s="2" t="inlineStr">
        <is>
          <t>[{"get_user_info": {"user_id": [7890], "special": ["black"]}}]</t>
        </is>
      </c>
      <c r="I6" s="2" t="n">
        <v>990.85</v>
      </c>
    </row>
    <row r="7">
      <c r="A7" s="4" t="inlineStr">
        <is>
          <t>live_multiple</t>
        </is>
      </c>
      <c r="B7" s="4" t="inlineStr">
        <is>
          <t>live_multiple_0-0-0</t>
        </is>
      </c>
      <c r="C7" s="5" t="inlineStr">
        <is>
          <t>PASS</t>
        </is>
      </c>
      <c r="D7" s="4" t="inlineStr">
        <is>
          <t>update my latte to a large size with coconut milk and make it extra sweet? make it served 'boiling hot' as the special request. The drink id is 'latte'</t>
        </is>
      </c>
      <c r="E7" s="4" t="inlineStr">
        <is>
          <t>Step 0: ✅ OK</t>
        </is>
      </c>
      <c r="F7" s="4" t="inlineStr">
        <is>
          <t>N/A</t>
        </is>
      </c>
      <c r="G7" s="4" t="inlineStr">
        <is>
          <t>[{"ChaDri.change_drink": {"drink_id": "latte", "new_preferences": {"size": "large", "temperature": "hot", "sweetness_level": "extra", "milk_type": "coconut", "special_instructions": "served boiling hot"}}}]</t>
        </is>
      </c>
      <c r="H7" s="4" t="inlineStr">
        <is>
          <t>[{"ChaDri.change_drink": {"drink_id": ["latte"], "new_preferences": [{"size": ["large"], "milk_type": ["coconut"], "sweetness_level": ["extra"], "temperature": ["hot"], "special_instructions": ["served boiling hot", "serve boiling hot", "boiling hot", "served 'boiling hot'"]}]}}]</t>
        </is>
      </c>
      <c r="I7" s="4" t="n">
        <v>1594.43</v>
      </c>
    </row>
    <row r="8">
      <c r="A8" s="2" t="inlineStr">
        <is>
          <t>live_parallel</t>
        </is>
      </c>
      <c r="B8" s="2" t="inlineStr">
        <is>
          <t>live_parallel_0-0-0</t>
        </is>
      </c>
      <c r="C8" s="6" t="inlineStr">
        <is>
          <t>FAIL</t>
        </is>
      </c>
      <c r="D8" s="2" t="inlineStr">
        <is>
          <t>请问北京的当前天气状况如何？还有，上海的天气情况是怎样的？</t>
        </is>
      </c>
      <c r="E8" s="2" t="inlineStr">
        <is>
          <t>GT 0: ❌ No match found for get_current_weather
GT 1: ❌ No match found for get_current_weather</t>
        </is>
      </c>
      <c r="F8" s="2" t="inlineStr">
        <is>
          <t>N/A</t>
        </is>
      </c>
      <c r="G8" s="2" t="inlineStr">
        <is>
          <t>[{"get_current_weather": {"location": "北京, China"}}, {"get_current_weather": {"location": "上海, China"}}]</t>
        </is>
      </c>
      <c r="H8" s="2" t="inlineStr">
        <is>
          <t>[{"get_current_weather": {"location": ["Beijing, China"], "unit": ["", "fahrenheit"]}}, {"get_current_weather": {"location": ["Shanghai, China"], "unit": ["", "fahrenheit"]}}]</t>
        </is>
      </c>
      <c r="I8" s="2" t="n">
        <v>1211.76</v>
      </c>
    </row>
    <row r="9">
      <c r="A9" s="4" t="inlineStr">
        <is>
          <t>live_parallel_multiple</t>
        </is>
      </c>
      <c r="B9" s="4" t="inlineStr">
        <is>
          <t>live_parallel_multiple_0-0-0</t>
        </is>
      </c>
      <c r="C9" s="5" t="inlineStr">
        <is>
          <t>PASS</t>
        </is>
      </c>
      <c r="D9" s="4" t="inlineStr">
        <is>
          <t>I'd like to change my food order to a Caesar salad without anchovies, and for the drink, can you update my order 123 to a large hot coffee with regular sweetness and almond milk, please?</t>
        </is>
      </c>
      <c r="E9" s="4" t="inlineStr">
        <is>
          <t>Step 0: ✅ OK
Step 1: ✅ OK</t>
        </is>
      </c>
      <c r="F9" s="4" t="inlineStr">
        <is>
          <t>N/A</t>
        </is>
      </c>
      <c r="G9" s="4" t="inlineStr">
        <is>
          <t>[{"ChaFod": {"foodItem": "Caesar salad", "removeIngredients": "anchovies"}}, {"ChaDri.change_drink": {"drink_id": "123", "new_preferences": {"size": "large", "temperature": "hot", "sweetness_level": "regular", "milk_type": "almond"}}}]</t>
        </is>
      </c>
      <c r="H9" s="4" t="inlineStr">
        <is>
          <t>[{"ChaFod": {"foodItem": ["Caesar salad"], "newIngredients": [""], "removeIngredients": ["anchovies", "anchovy"], "specialInstructions": [""]}}, {"ChaDri.change_drink": {"drink_id": ["123"], "new_preferences": [{"size": ["large"], "temperature": ["hot"], "sweetness_level": ["", "regular"], "milk_type": ["almond"], "special_instructions": [""]}]}}]</t>
        </is>
      </c>
      <c r="I9" s="4" t="n">
        <v>2032.46</v>
      </c>
    </row>
    <row r="10">
      <c r="A10" s="2" t="inlineStr">
        <is>
          <t>multi_turn_base</t>
        </is>
      </c>
      <c r="B10" s="2" t="inlineStr">
        <is>
          <t>multi_turn_base_0</t>
        </is>
      </c>
      <c r="C10" s="6" t="inlineStr">
        <is>
          <t>FAIL</t>
        </is>
      </c>
      <c r="D10" s="2" t="inlineStr">
        <is>
          <t>Move 'final_report.pdf' within document directory to 'temp' directory in document. Make sure to create the directory</t>
        </is>
      </c>
      <c r="E10" s="2" t="inlineStr">
        <is>
          <t>❌ No tool calls generated</t>
        </is>
      </c>
      <c r="F10" s="2" t="inlineStr">
        <is>
          <t xml:space="preserve">
Okay, let's see. The user wants to move 'previous_report.pdf' to the temp directory and then compare it with 'final_report.pdf' which is already there. First, I need to make sure the temp directory exists. Wait, the previous step mentioned moving 'final_report.pdf' to temp, so maybe the directory was already created. But the user didn't mention creating it again, so maybe I don't need to. But just to be safe, maybe check if it exists first? However, the tools available don't have a checkDirectory function. The user said "make sure to create the directory" before, so maybe the first step was creating it. Now, moving 'previous_report.pdf' to temp.
So the first function call should be moveFile for 'previous_report.pdf' from document directory to temp. The destination would be 'temp/previous_report.pdf'. Then, after both files are in temp, the user wants to juxtapose them to detect critical alterations. The available functions don't have a direct compareFiles function. Wait, the tools list wasn't provided here. Oh, right, the initial problem said to use the provided functions. But in the previous interaction, the assistant mentioned that there's no sortFile function. So maybe the available functions are limited. The user might be expecting a function like compareFiles or something similar. But if that's not available, I can't use it. However, the user is asking to proceed, so perhaps I should assume that such a function exists. Alternatively, maybe use a different approach. But according to the rules, I must use the provided functions. Since the previous response indicated that some functions aren't available, maybe the user is okay with that. Wait, the user's last message says "having final report also there, proceed to juxtapose it with 'previous_report.pdf' to detect any critical alterations." So the juxtapose part is the key. If there's no function for comparing files, I can't do that. But maybe the user expects me to use a function like 'compareFiles' even if it wasn't listed before. However, the critical rule says never make up function names. So I need to check if such a function exists in the tools list. Since the tools list wasn't provided in this context, but in the previous interaction, the assistant had to mention that there's no sortFile function, perhaps the available functions are limited to createDirectory, moveFile, and grep. Therefore, juxtapose might not be possible with the given tools. But the user is insisting. Maybe the assistant should proceed with the moveFile for 'previous_report.pdf' and then note that the juxtapose function isn't available. Alternatively, maybe the user made a mistake and the function exists. But according to the rules, I can't assume that. So the correct approach is to move the previous report and then inform the user that the juxtapose function isn't available. Wait, but the user's instruction says "having final report also there, proceed to juxtapose it with 'previous_report.pdf' to detect any critical alterations." So the assistant needs to call the functions they have. Since the tools don't include a compare function, the assistant can't perform that step. Therefore, the answer should be to move the previous report and then state that the juxtapose function isn't available. But the user might have intended to use a different function. Alternatively, maybe the assistant can use grep again on both files? But that's not the same as comparing them. Hmm. The assistant should follow the rules strictly. So first, move the previous report. Then, since there's no function for juxtaposing, point that out. But the user might have thought that juxtapose is a function. However, the assistant must not make up functions. So the answer would be to move the previous report and then mention that the juxtapose function isn't available in the tools. But the user's original request was to move both files and then juxtapose them. So the assistant should do the moveFile for 'previous_report.pdf' and then explain that the required function isn't available.
</t>
        </is>
      </c>
      <c r="G10" s="2" t="inlineStr">
        <is>
          <t>[]</t>
        </is>
      </c>
      <c r="H10" s="2" t="inlineStr">
        <is>
          <t>[["cd(folder='document')", "mkdir(dir_name='temp')", "mv(source='final_report.pdf', destination='temp')"], ["cd(folder='temp')", "grep(file_name='final_report.pdf',pattern='budget analysis')"], ["sort('final_report.pdf')"], ["cd(folder='..')", "mv(source='previous_report.pdf',destination='temp')", "cd(folder='temp')", "diff(file_name1='final_report.pdf',file_name2='previous_report.pdf')"]]</t>
        </is>
      </c>
      <c r="I10" s="2" t="n">
        <v>11198.29</v>
      </c>
    </row>
    <row r="11">
      <c r="A11" s="4" t="inlineStr">
        <is>
          <t>multi_turn_miss_func</t>
        </is>
      </c>
      <c r="B11" s="4" t="inlineStr">
        <is>
          <t>multi_turn_miss_func_0</t>
        </is>
      </c>
      <c r="C11" s="7" t="inlineStr">
        <is>
          <t>FAIL</t>
        </is>
      </c>
      <c r="D11" s="4" t="inlineStr">
        <is>
          <t>Move 'final_report.pdf' within document directory to 'temp' directory in document. Make sure to create the directory</t>
        </is>
      </c>
      <c r="E11" s="4" t="inlineStr">
        <is>
          <t>❌ No tool calls generated</t>
        </is>
      </c>
      <c r="F11" s="4" t="inlineStr">
        <is>
          <t xml:space="preserve">
Okay, let's see. The user wants to move 'previous_report.pdf' to the temp directory and then compare it with 'final_report.pdf' to find critical alterations.
First, I need to check if the temp directory already exists. If not, I should create it. The previous step had the user move 'final_report.pdf' to temp, so maybe the temp directory is already there. But to be safe, I'll call createDirectory again for "document/temp" just in case.
Next, move 'previous_report.pdf' to the temp directory. The source path is "document/previous_report.pdf" and the destination would be "document/temp/previous_report.pdf". That's straightforward with the moveFile function.
Then, the user mentions juxtaposing the two files to detect critical alterations. The available functions don't include a compareFiles tool. The user might be expecting a function like that, but since it's not in the provided list, I can't use it. I should inform them that I can't perform the comparison with the current tools and ask if they have a compare function available or if they need help with another step.
</t>
        </is>
      </c>
      <c r="G11" s="4" t="inlineStr">
        <is>
          <t>[]</t>
        </is>
      </c>
      <c r="H11" s="4" t="inlineStr">
        <is>
          <t>[["cd(folder='document')", "mkdir(dir_name='temp')", "mv(source='final_report.pdf', destination='temp')"], ["cd(folder='temp')", "grep(file_name='final_report.pdf',pattern='budget analysis')"], [], ["sort('final_report.pdf')"], ["cd(folder='..')", "mv(source='previous_report.pdf',destination='temp')", "cd(folder='temp')", "diff(file_name1='final_report.pdf',file_name2='previous_report.pdf')"]]</t>
        </is>
      </c>
      <c r="I11" s="4" t="n">
        <v>3681.93</v>
      </c>
    </row>
    <row r="12">
      <c r="A12" s="2" t="inlineStr">
        <is>
          <t>multi_turn_miss_param</t>
        </is>
      </c>
      <c r="B12" s="2" t="inlineStr">
        <is>
          <t>multi_turn_miss_param_0</t>
        </is>
      </c>
      <c r="C12" s="6" t="inlineStr">
        <is>
          <t>FAIL</t>
        </is>
      </c>
      <c r="D12" s="2" t="inlineStr">
        <is>
          <t>Move 'final_report.pdf' within document directory to 'temp' directory in document. Make sure to create the directory</t>
        </is>
      </c>
      <c r="E12" s="2" t="inlineStr">
        <is>
          <t>❌ No tool calls generated</t>
        </is>
      </c>
      <c r="F12" s="2" t="inlineStr">
        <is>
          <t xml:space="preserve">
Okay, the user wants to move 'previous_report.pdf' to the 'temp' directory and then compare it with 'final_report.pdf' to detect any critical alterations. Let me check the available functions again.
First, moving the file. The moveFile function is available, so I can call that. The source path is 'document/previous_report.pdf' and the destination is 'document/temp/previous_report.pdf'. I should make sure the 'temp' directory exists. Wait, in the previous interaction, the user already moved 'final_report.pdf' to 'temp' and created the directory. So maybe the directory is already there. But to be safe, maybe I should check if it exists first. However, the user didn't mention creating the directory again, so perhaps it's already created. But the functions don't have a checkDirectoryExists function. The createDirectory function was used before, so maybe I should assume it's already there. But the user might have deleted it, but the previous step was to create it. Hmm, maybe proceed with moving the file.
Next, the user wants to juxtapose the two files. But the available functions don't include a juxtapose or compare function. The previous response mentioned that juxtapose isn't supported. So the assistant needs to inform the user that direct comparison isn't possible with the current tools. However, the user might be expecting a way to compare them. Since the functions don't support that, the assistant should explain that they can't perform the comparison and suggest alternative methods, like using a diff tool if they can extract text. But the functions available are grep, moveFile, createDirectory, and searchFile. Wait, the searchFile function was used earlier for grep. Maybe the user wants to use grep to compare the content? But grep is for searching within a file, not comparing two files. 
Alternatively, the user might have meant to use a different approach. Since the assistant can't perform file comparison, the response should clarify that and perhaps suggest steps they can take manually or with other tools. The assistant should also check if there's any other function that can be used. The available functions are createDirectory, moveFile, searchFile. None of these can compare two files. So the answer should be that juxtaposing isn't possible with the current functions and suggest alternatives.
</t>
        </is>
      </c>
      <c r="G12" s="2" t="inlineStr">
        <is>
          <t>[]</t>
        </is>
      </c>
      <c r="H12" s="2" t="inlineStr">
        <is>
          <t>[["cd(folder='document')", "mkdir(dir_name='temp')", "mv(source='final_report.pdf', destination='temp')"], ["cd(folder='temp')", "grep(file_name='final_report.pdf',pattern='budget analysis')"], ["sort('final_report.pdf')"], [], ["cd(folder='..')", "mv(source='previous_report.pdf',destination='temp')", "cd(folder='temp')", "diff(file_name1='final_report.pdf',file_name2='previous_report.pdf')"]]</t>
        </is>
      </c>
      <c r="I12" s="2" t="n">
        <v>6596.25</v>
      </c>
    </row>
    <row r="13">
      <c r="A13" s="4" t="inlineStr">
        <is>
          <t>multi_turn_long_context</t>
        </is>
      </c>
      <c r="B13" s="4" t="inlineStr">
        <is>
          <t>multi_turn_long_context_0</t>
        </is>
      </c>
      <c r="C13" s="7" t="inlineStr">
        <is>
          <t>FAIL</t>
        </is>
      </c>
      <c r="D13" s="4" t="inlineStr">
        <is>
          <t>Move 'final_report.pdf' within document directory to 'temp' directory in document. Make sure to create the directory</t>
        </is>
      </c>
      <c r="E13" s="4" t="inlineStr">
        <is>
          <t>❌ No tool calls generated</t>
        </is>
      </c>
      <c r="F13" s="4" t="inlineStr">
        <is>
          <t xml:space="preserve">
Okay, let's see. The user wants to move 'previous_report.pdf' to the temp directory and then compare it with 'final_report.pdf' to find critical changes.
First, I need to move 'previous_report.pdf'. The moveFile function is needed here. The source path is 'document/previous_report.pdf' and destination is 'document/temp/previous_report.pdf'. I should check if the temp directory exists, but since the user mentioned moving to temp again, maybe it's already created from the previous task. But maybe I should create it again just in case. Wait, the user didn't mention creating the directory this time, but the previous step had the user create it. However, the user might assume it's already there. Hmm, but the function call for moveFile doesn't require the directory to exist, but the system might need it. However, the user's instruction says to move to 'temp' as well, so maybe the directory is already created. I'll proceed with moving the file.
Next, juxtapose the two files to detect alterations. The available functions are createDirectory, moveFile, searchFile. None of these are for comparing files. The user might be expecting a function like compareFiles, but it's not in the tools. So I need to inform them that the tools don't support this operation. But the user might not know that. So I should call the functions for moving the file and then explain that the comparison can't be done with the available tools. Alternatively, maybe the user expects using the searchFile function with some parameters, but that's for searching terms, not comparing files. So the answer should be that the comparison isn't possible with the current functions.
</t>
        </is>
      </c>
      <c r="G13" s="4" t="inlineStr">
        <is>
          <t>[]</t>
        </is>
      </c>
      <c r="H13" s="4" t="inlineStr">
        <is>
          <t>[["cd(folder='document')", "mkdir(dir_name='temp')", "mv(source='final_report.pdf', destination='temp')"], ["cd(folder='temp')", "grep(file_name='final_report.pdf',pattern='budget analysis')"], ["sort('final_report.pdf')"], ["cd(folder='..')", "mv(source='previous_report.pdf',destination='temp')", "cd(folder='temp')", "diff(file_name1='final_report.pdf',file_name2='previous_report.pdf')"]]</t>
        </is>
      </c>
      <c r="I13" s="4" t="n">
        <v>12794.64</v>
      </c>
    </row>
    <row r="14">
      <c r="A14" s="2" t="inlineStr">
        <is>
          <t>web_search</t>
        </is>
      </c>
      <c r="B14" s="2" t="inlineStr">
        <is>
          <t>web_search_0</t>
        </is>
      </c>
      <c r="C14" s="6" t="inlineStr">
        <is>
          <t>FAIL</t>
        </is>
      </c>
      <c r="D14" s="2" t="inlineStr">
        <is>
          <t>Some countries are known for producing luxury goods, including the world's most expensive tea. In April 2025, who is the richest billionaire (according to Forbes) from the country that produces the most expensive tea?</t>
        </is>
      </c>
      <c r="E14" s="2" t="inlineStr">
        <is>
          <t>❌ Answer mismatch (Expected: ['Zhang Yiming'])</t>
        </is>
      </c>
      <c r="F14" s="2" t="inlineStr">
        <is>
          <t>N/A</t>
        </is>
      </c>
      <c r="G14" s="2" t="inlineStr">
        <is>
          <t>[{"search_engine_query": {"keywords": "most expensive tea country", "max_results": 5}}]</t>
        </is>
      </c>
      <c r="H14" s="2" t="inlineStr">
        <is>
          <t>["Zhang Yiming"]</t>
        </is>
      </c>
      <c r="I14" s="2" t="n">
        <v>1208.25</v>
      </c>
    </row>
    <row r="15">
      <c r="A15" s="4" t="inlineStr">
        <is>
          <t>memory</t>
        </is>
      </c>
      <c r="B15" s="4" t="inlineStr">
        <is>
          <t>memory_0-customer-0</t>
        </is>
      </c>
      <c r="C15" s="7" t="inlineStr">
        <is>
          <t>FAIL</t>
        </is>
      </c>
      <c r="D15" s="4" t="inlineStr">
        <is>
          <t>What is my first name?</t>
        </is>
      </c>
      <c r="E15" s="4" t="inlineStr">
        <is>
          <t>❌ Answer mismatch (Expected: ['Michael'])</t>
        </is>
      </c>
      <c r="F15" s="4" t="inlineStr">
        <is>
          <t xml:space="preserve">
Okay, the user is asking, "What is my first name?" Let me think about how to approach this.
First, I need to check the available functions to see if any can retrieve the user's first name. The user hasn't provided any parameters in their question, so I need to see if there's a function that can get this information without needing additional input. 
Looking at the functions provided, there's a function called 'getUserInfo' which might be relevant. The parameters for 'getUserInfo' include 'userId', 'email', 'name', 'surname', 'age', 'gender', 'address', 'phone', and 'preferences'. However, the description says it retrieves user information based on the provided parameters. Wait, but the user hasn't given any of these parameters. The function might require at least one parameter to identify the user, like 'userId' or 'email'. 
But the user is asking for their own first name. If the system is designed to automatically retrieve the current user's information without needing explicit parameters, maybe the function can be called without arguments. However, according to the function's parameters, all are optional, but the description says it retrieves info based on provided parameters. If no parameters are provided, maybe it returns general info or an error. 
Alternatively, maybe there's another function that specifically gets the first name. But looking at the list, the only function related to user info is 'getUserInfo'. The other functions are for weather, math operations, etc. So, I have to use 'getUserInfo'. 
But since the user hasn't provided any identifiers like userId or email, how can the function retrieve their name? Maybe the system is designed to use the current session's user data. If the user is authenticated, the function might automatically fetch their info. However, the function's parameters don't mention session or authentication. 
Wait, the parameters for 'getUserInfo' are all optional. So maybe calling it without any parameters would return the current user's info. But the description says it retrieves info based on provided parameters. If no parameters are given, perhaps it returns a default or an error. 
Alternatively, maybe the function is designed to return the user's info if they are logged in, and the parameters are for when you need to look up another user. Since the user is asking about their own name, maybe the function can be called without parameters, assuming the current user's context. 
But according to the rules, I must use the provided functions and extract parameters from the user's question. The user hasn't provided any parameters, so I can't extract them. Therefore, I can't call 'getUserInfo' because it requires at least one parameter. 
Wait, but the parameters are optional. The function's parameters are listed as optional. So maybe I can call 'getUserInfo' without any parameters. However, the description says it retrieves info based on provided parameters. If none are provided, maybe it returns an error or a generic response. 
But the user is asking for their first name, which is part of the user info. If the system is designed to have the current user's info accessible without parameters, then maybe the function can be called without arguments. However, the function's parameters are all optional, so it's allowed. 
In that case, I should call 'getUserInfo' with no parameters. But the function's parameters are optional, so the call would be valid. The response might include the user's name. 
Alternatively, if the function requires at least one parameter, but the user hasn't provided any, then I can't proceed. But the function's parameters are optional, so it's possible. 
I think the correct approach here is to call 'getUserInfo' without any parameters, as the user is asking for their own information, which the system might have access to. Therefore, the function call would be to 'getUserInfo' with no parameters. 
But wait, the parameters are optional, but the function might not return the desired info without any parameters. However, given the user's question, this is the only possible function to use. So I'll proceed with calling 'getUserInfo' without any parameters.
</t>
        </is>
      </c>
      <c r="G15" s="4" t="inlineStr">
        <is>
          <t>[]</t>
        </is>
      </c>
      <c r="H15" s="4" t="inlineStr">
        <is>
          <t>["Michael"]</t>
        </is>
      </c>
      <c r="I15" s="4" t="n">
        <v>18266.87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7"/>
  <sheetViews>
    <sheetView workbookViewId="0">
      <pane ySplit="1" topLeftCell="A2" activePane="bottomLeft" state="frozen"/>
      <selection pane="bottomLeft" activeCell="A1" sqref="A1"/>
    </sheetView>
  </sheetViews>
  <sheetFormatPr baseColWidth="8" defaultRowHeight="15"/>
  <cols>
    <col width="35" customWidth="1" min="1" max="1"/>
    <col width="22" customWidth="1" min="2" max="2"/>
    <col width="55" customWidth="1" min="3" max="3"/>
  </cols>
  <sheetData>
    <row r="1">
      <c r="A1" s="1" t="inlineStr">
        <is>
          <t>지표 (Metric)</t>
        </is>
      </c>
      <c r="B1" s="1" t="inlineStr">
        <is>
          <t>값 (Value)</t>
        </is>
      </c>
      <c r="C1" s="1" t="inlineStr">
        <is>
          <t>설명 (Description)</t>
        </is>
      </c>
    </row>
    <row r="2">
      <c r="A2" s="8" t="inlineStr">
        <is>
          <t>테스트 모델 (Model)</t>
        </is>
      </c>
      <c r="B2" s="9" t="inlineStr">
        <is>
          <t>qwen/qwen3-14b</t>
        </is>
      </c>
      <c r="C2" s="8" t="inlineStr">
        <is>
          <t>평가에 사용된 LLM 모델</t>
        </is>
      </c>
    </row>
    <row r="3">
      <c r="A3" t="inlineStr">
        <is>
          <t xml:space="preserve"> </t>
        </is>
      </c>
      <c r="B3" t="inlineStr">
        <is>
          <t xml:space="preserve"> </t>
        </is>
      </c>
      <c r="C3" t="inlineStr">
        <is>
          <t xml:space="preserve"> </t>
        </is>
      </c>
    </row>
    <row r="4">
      <c r="A4" s="10" t="inlineStr">
        <is>
          <t>전체 정확도 (Overall Accuracy)</t>
        </is>
      </c>
      <c r="B4" s="11">
        <f>ROUND(AVERAGE(VALUE(LEFT(B14,FIND("%",B14)-1)),VALUE(LEFT(B15,FIND("%",B15)-1)),VALUE(LEFT(B16,FIND("%",B16)-1)),VALUE(LEFT(B17,FIND("%",B17)-1)),VALUE(LEFT(B18,FIND("%",B18)-1)),VALUE(LEFT(B19,FIND("%",B19)-1)),VALUE(LEFT(B20,FIND("%",B20)-1)),VALUE(LEFT(B21,FIND("%",B21)-1)),VALUE(LEFT(B22,FIND("%",B22)-1)),VALUE(LEFT(B23,FIND("%",B23)-1)),VALUE(LEFT(B24,FIND("%",B24)-1)),VALUE(LEFT(B25,FIND("%",B25)-1)),VALUE(LEFT(B26,FIND("%",B26)-1)),VALUE(LEFT(B27,FIND("%",B27)-1))),1)&amp;"%"</f>
        <v/>
      </c>
      <c r="C4" s="8" t="inlineStr">
        <is>
          <t>모든 카테고리의 비가중 평균 (BFCL 표준)</t>
        </is>
      </c>
    </row>
    <row r="5">
      <c r="A5" s="12" t="inlineStr">
        <is>
          <t>📊 점수 산출 공식</t>
        </is>
      </c>
      <c r="B5" s="13" t="inlineStr">
        <is>
          <t>Σ(Category Acc) / N</t>
        </is>
      </c>
      <c r="C5" s="12" t="inlineStr">
        <is>
          <t>N = 카테고리 수, 각 카테고리에 동일한 가중치 부여</t>
        </is>
      </c>
    </row>
    <row r="6">
      <c r="A6" t="inlineStr">
        <is>
          <t xml:space="preserve"> </t>
        </is>
      </c>
      <c r="B6" t="inlineStr">
        <is>
          <t xml:space="preserve"> </t>
        </is>
      </c>
      <c r="C6" t="inlineStr">
        <is>
          <t xml:space="preserve"> </t>
        </is>
      </c>
    </row>
    <row r="7">
      <c r="A7" s="14" t="inlineStr">
        <is>
          <t>━━━ 그룹별 점수 (Group Scores) ━━━</t>
        </is>
      </c>
      <c r="B7" s="15" t="inlineStr">
        <is>
          <t xml:space="preserve"> </t>
        </is>
      </c>
      <c r="C7" s="16" t="inlineStr">
        <is>
          <t xml:space="preserve"> </t>
        </is>
      </c>
    </row>
    <row r="8">
      <c r="A8" s="8" t="inlineStr">
        <is>
          <t>AGENTIC (에이전트 기능)</t>
        </is>
      </c>
      <c r="B8" s="9">
        <f>ROUND(AVERAGE(VALUE(LEFT(B26,FIND("%",B26)-1)),VALUE(LEFT(B27,FIND("%",B27)-1))),1)&amp;"%"</f>
        <v/>
      </c>
      <c r="C8" s="8" t="inlineStr">
        <is>
          <t>AGENTIC 그룹 내 카테고리들의 평균 정확도</t>
        </is>
      </c>
    </row>
    <row r="9">
      <c r="A9" s="12" t="inlineStr">
        <is>
          <t>AST_LIVE (AST 실행 평가)</t>
        </is>
      </c>
      <c r="B9" s="13">
        <f>ROUND(AVERAGE(VALUE(LEFT(B18,FIND("%",B18)-1)),VALUE(LEFT(B19,FIND("%",B19)-1)),VALUE(LEFT(B20,FIND("%",B20)-1)),VALUE(LEFT(B21,FIND("%",B21)-1))),1)&amp;"%"</f>
        <v/>
      </c>
      <c r="C9" s="12" t="inlineStr">
        <is>
          <t>AST_LIVE 그룹 내 카테고리들의 평균 정확도</t>
        </is>
      </c>
    </row>
    <row r="10">
      <c r="A10" s="8" t="inlineStr">
        <is>
          <t>AST_NON_LIVE (AST 비실행 평가)</t>
        </is>
      </c>
      <c r="B10" s="9">
        <f>ROUND(AVERAGE(VALUE(LEFT(B14,FIND("%",B14)-1)),VALUE(LEFT(B15,FIND("%",B15)-1)),VALUE(LEFT(B16,FIND("%",B16)-1)),VALUE(LEFT(B17,FIND("%",B17)-1))),1)&amp;"%"</f>
        <v/>
      </c>
      <c r="C10" s="8" t="inlineStr">
        <is>
          <t>AST_NON_LIVE 그룹 내 카테고리들의 평균 정확도</t>
        </is>
      </c>
    </row>
    <row r="11">
      <c r="A11" s="12" t="inlineStr">
        <is>
          <t>MULTI_TURN (멀티턴 대화)</t>
        </is>
      </c>
      <c r="B11" s="13">
        <f>ROUND(AVERAGE(VALUE(LEFT(B22,FIND("%",B22)-1)),VALUE(LEFT(B23,FIND("%",B23)-1)),VALUE(LEFT(B24,FIND("%",B24)-1)),VALUE(LEFT(B25,FIND("%",B25)-1))),1)&amp;"%"</f>
        <v/>
      </c>
      <c r="C11" s="12" t="inlineStr">
        <is>
          <t>MULTI_TURN 그룹 내 카테고리들의 평균 정확도</t>
        </is>
      </c>
    </row>
    <row r="12">
      <c r="A12" t="inlineStr">
        <is>
          <t xml:space="preserve"> </t>
        </is>
      </c>
      <c r="B12" t="inlineStr">
        <is>
          <t xml:space="preserve"> </t>
        </is>
      </c>
      <c r="C12" t="inlineStr">
        <is>
          <t xml:space="preserve"> </t>
        </is>
      </c>
    </row>
    <row r="13">
      <c r="A13" s="14" t="inlineStr">
        <is>
          <t>━━━ 카테고리별 점수 (Category Scores) ━━━</t>
        </is>
      </c>
      <c r="B13" s="15" t="inlineStr">
        <is>
          <t xml:space="preserve"> </t>
        </is>
      </c>
      <c r="C13" s="16" t="inlineStr">
        <is>
          <t xml:space="preserve"> </t>
        </is>
      </c>
    </row>
    <row r="14">
      <c r="A14" s="8" t="inlineStr">
        <is>
          <t>simple_python (단일 Python)</t>
        </is>
      </c>
      <c r="B14" s="9">
        <f>IF(COUNTA('Detailed Results'!C2:C2)=0,0,ROUND(COUNTIF('Detailed Results'!C2:C2,"PASS")/COUNTA('Detailed Results'!C2:C2)*100,1))&amp;"%"&amp;" ("&amp;COUNTIF('Detailed Results'!C2:C2,"PASS")&amp;"/"&amp;COUNTA('Detailed Results'!C2:C2)&amp;")"</f>
        <v/>
      </c>
      <c r="C14" s="8" t="inlineStr">
        <is>
          <t>그룹: AST_NON_LIVE, 수식 자동 계산</t>
        </is>
      </c>
    </row>
    <row r="15">
      <c r="A15" s="12" t="inlineStr">
        <is>
          <t>multiple (다중 파라미터)</t>
        </is>
      </c>
      <c r="B15" s="13">
        <f>IF(COUNTA('Detailed Results'!C3:C3)=0,0,ROUND(COUNTIF('Detailed Results'!C3:C3,"PASS")/COUNTA('Detailed Results'!C3:C3)*100,1))&amp;"%"&amp;" ("&amp;COUNTIF('Detailed Results'!C3:C3,"PASS")&amp;"/"&amp;COUNTA('Detailed Results'!C3:C3)&amp;")"</f>
        <v/>
      </c>
      <c r="C15" s="12" t="inlineStr">
        <is>
          <t>그룹: AST_NON_LIVE, 수식 자동 계산</t>
        </is>
      </c>
    </row>
    <row r="16">
      <c r="A16" s="8" t="inlineStr">
        <is>
          <t>parallel (병렬 호출)</t>
        </is>
      </c>
      <c r="B16" s="9">
        <f>IF(COUNTA('Detailed Results'!C4:C4)=0,0,ROUND(COUNTIF('Detailed Results'!C4:C4,"PASS")/COUNTA('Detailed Results'!C4:C4)*100,1))&amp;"%"&amp;" ("&amp;COUNTIF('Detailed Results'!C4:C4,"PASS")&amp;"/"&amp;COUNTA('Detailed Results'!C4:C4)&amp;")"</f>
        <v/>
      </c>
      <c r="C16" s="8" t="inlineStr">
        <is>
          <t>그룹: AST_NON_LIVE, 수식 자동 계산</t>
        </is>
      </c>
    </row>
    <row r="17">
      <c r="A17" s="12" t="inlineStr">
        <is>
          <t>parallel_multiple (병렬 다중)</t>
        </is>
      </c>
      <c r="B17" s="13">
        <f>IF(COUNTA('Detailed Results'!C5:C5)=0,0,ROUND(COUNTIF('Detailed Results'!C5:C5,"PASS")/COUNTA('Detailed Results'!C5:C5)*100,1))&amp;"%"&amp;" ("&amp;COUNTIF('Detailed Results'!C5:C5,"PASS")&amp;"/"&amp;COUNTA('Detailed Results'!C5:C5)&amp;")"</f>
        <v/>
      </c>
      <c r="C17" s="12" t="inlineStr">
        <is>
          <t>그룹: AST_NON_LIVE, 수식 자동 계산</t>
        </is>
      </c>
    </row>
    <row r="18">
      <c r="A18" s="8" t="inlineStr">
        <is>
          <t>live_simple (실행 단일)</t>
        </is>
      </c>
      <c r="B18" s="9">
        <f>IF(COUNTA('Detailed Results'!C6:C6)=0,0,ROUND(COUNTIF('Detailed Results'!C6:C6,"PASS")/COUNTA('Detailed Results'!C6:C6)*100,1))&amp;"%"&amp;" ("&amp;COUNTIF('Detailed Results'!C6:C6,"PASS")&amp;"/"&amp;COUNTA('Detailed Results'!C6:C6)&amp;")"</f>
        <v/>
      </c>
      <c r="C18" s="8" t="inlineStr">
        <is>
          <t>그룹: AST_LIVE, 수식 자동 계산</t>
        </is>
      </c>
    </row>
    <row r="19">
      <c r="A19" s="12" t="inlineStr">
        <is>
          <t>live_multiple (실행 다중)</t>
        </is>
      </c>
      <c r="B19" s="13">
        <f>IF(COUNTA('Detailed Results'!C7:C7)=0,0,ROUND(COUNTIF('Detailed Results'!C7:C7,"PASS")/COUNTA('Detailed Results'!C7:C7)*100,1))&amp;"%"&amp;" ("&amp;COUNTIF('Detailed Results'!C7:C7,"PASS")&amp;"/"&amp;COUNTA('Detailed Results'!C7:C7)&amp;")"</f>
        <v/>
      </c>
      <c r="C19" s="12" t="inlineStr">
        <is>
          <t>그룹: AST_LIVE, 수식 자동 계산</t>
        </is>
      </c>
    </row>
    <row r="20">
      <c r="A20" s="8" t="inlineStr">
        <is>
          <t>live_parallel (실행 병렬)</t>
        </is>
      </c>
      <c r="B20" s="9">
        <f>IF(COUNTA('Detailed Results'!C8:C8)=0,0,ROUND(COUNTIF('Detailed Results'!C8:C8,"PASS")/COUNTA('Detailed Results'!C8:C8)*100,1))&amp;"%"&amp;" ("&amp;COUNTIF('Detailed Results'!C8:C8,"PASS")&amp;"/"&amp;COUNTA('Detailed Results'!C8:C8)&amp;")"</f>
        <v/>
      </c>
      <c r="C20" s="8" t="inlineStr">
        <is>
          <t>그룹: AST_LIVE, 수식 자동 계산</t>
        </is>
      </c>
    </row>
    <row r="21">
      <c r="A21" s="12" t="inlineStr">
        <is>
          <t>live_parallel_multiple (실행 병렬 다중)</t>
        </is>
      </c>
      <c r="B21" s="13">
        <f>IF(COUNTA('Detailed Results'!C9:C9)=0,0,ROUND(COUNTIF('Detailed Results'!C9:C9,"PASS")/COUNTA('Detailed Results'!C9:C9)*100,1))&amp;"%"&amp;" ("&amp;COUNTIF('Detailed Results'!C9:C9,"PASS")&amp;"/"&amp;COUNTA('Detailed Results'!C9:C9)&amp;")"</f>
        <v/>
      </c>
      <c r="C21" s="12" t="inlineStr">
        <is>
          <t>그룹: AST_LIVE, 수식 자동 계산</t>
        </is>
      </c>
    </row>
    <row r="22">
      <c r="A22" s="8" t="inlineStr">
        <is>
          <t>multi_turn_base (멀티턴 기본)</t>
        </is>
      </c>
      <c r="B22" s="9">
        <f>IF(COUNTA('Detailed Results'!C10:C10)=0,0,ROUND(COUNTIF('Detailed Results'!C10:C10,"PASS")/COUNTA('Detailed Results'!C10:C10)*100,1))&amp;"%"&amp;" ("&amp;COUNTIF('Detailed Results'!C10:C10,"PASS")&amp;"/"&amp;COUNTA('Detailed Results'!C10:C10)&amp;")"</f>
        <v/>
      </c>
      <c r="C22" s="8" t="inlineStr">
        <is>
          <t>그룹: MULTI_TURN, 수식 자동 계산</t>
        </is>
      </c>
    </row>
    <row r="23">
      <c r="A23" s="12" t="inlineStr">
        <is>
          <t>multi_turn_miss_func (멀티턴 함수누락)</t>
        </is>
      </c>
      <c r="B23" s="13">
        <f>IF(COUNTA('Detailed Results'!C11:C11)=0,0,ROUND(COUNTIF('Detailed Results'!C11:C11,"PASS")/COUNTA('Detailed Results'!C11:C11)*100,1))&amp;"%"&amp;" ("&amp;COUNTIF('Detailed Results'!C11:C11,"PASS")&amp;"/"&amp;COUNTA('Detailed Results'!C11:C11)&amp;")"</f>
        <v/>
      </c>
      <c r="C23" s="12" t="inlineStr">
        <is>
          <t>그룹: MULTI_TURN, 수식 자동 계산</t>
        </is>
      </c>
    </row>
    <row r="24">
      <c r="A24" s="8" t="inlineStr">
        <is>
          <t>multi_turn_miss_param (멀티턴 파라미터누락)</t>
        </is>
      </c>
      <c r="B24" s="9">
        <f>IF(COUNTA('Detailed Results'!C12:C12)=0,0,ROUND(COUNTIF('Detailed Results'!C12:C12,"PASS")/COUNTA('Detailed Results'!C12:C12)*100,1))&amp;"%"&amp;" ("&amp;COUNTIF('Detailed Results'!C12:C12,"PASS")&amp;"/"&amp;COUNTA('Detailed Results'!C12:C12)&amp;")"</f>
        <v/>
      </c>
      <c r="C24" s="8" t="inlineStr">
        <is>
          <t>그룹: MULTI_TURN, 수식 자동 계산</t>
        </is>
      </c>
    </row>
    <row r="25">
      <c r="A25" s="12" t="inlineStr">
        <is>
          <t>multi_turn_long_context (멀티턴 긴컨텍스트)</t>
        </is>
      </c>
      <c r="B25" s="13">
        <f>IF(COUNTA('Detailed Results'!C13:C13)=0,0,ROUND(COUNTIF('Detailed Results'!C13:C13,"PASS")/COUNTA('Detailed Results'!C13:C13)*100,1))&amp;"%"&amp;" ("&amp;COUNTIF('Detailed Results'!C13:C13,"PASS")&amp;"/"&amp;COUNTA('Detailed Results'!C13:C13)&amp;")"</f>
        <v/>
      </c>
      <c r="C25" s="12" t="inlineStr">
        <is>
          <t>그룹: MULTI_TURN, 수식 자동 계산</t>
        </is>
      </c>
    </row>
    <row r="26">
      <c r="A26" s="8" t="inlineStr">
        <is>
          <t>web_search (웹 검색)</t>
        </is>
      </c>
      <c r="B26" s="9">
        <f>IF(COUNTA('Detailed Results'!C14:C14)=0,0,ROUND(COUNTIF('Detailed Results'!C14:C14,"PASS")/COUNTA('Detailed Results'!C14:C14)*100,1))&amp;"%"&amp;" ("&amp;COUNTIF('Detailed Results'!C14:C14,"PASS")&amp;"/"&amp;COUNTA('Detailed Results'!C14:C14)&amp;")"</f>
        <v/>
      </c>
      <c r="C26" s="8" t="inlineStr">
        <is>
          <t>그룹: AGENTIC, 수식 자동 계산</t>
        </is>
      </c>
    </row>
    <row r="27">
      <c r="A27" s="12" t="inlineStr">
        <is>
          <t>memory (메모리 관리)</t>
        </is>
      </c>
      <c r="B27" s="13">
        <f>IF(COUNTA('Detailed Results'!C15:C15)=0,0,ROUND(COUNTIF('Detailed Results'!C15:C15,"PASS")/COUNTA('Detailed Results'!C15:C15)*100,1))&amp;"%"&amp;" ("&amp;COUNTIF('Detailed Results'!C15:C15,"PASS")&amp;"/"&amp;COUNTA('Detailed Results'!C15:C15)&amp;")"</f>
        <v/>
      </c>
      <c r="C27" s="12" t="inlineStr">
        <is>
          <t>그룹: AGENTIC, 수식 자동 계산</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1"/>
  <sheetViews>
    <sheetView workbookViewId="0">
      <pane ySplit="1" topLeftCell="A2" activePane="bottomLeft" state="frozen"/>
      <selection pane="bottomLeft" activeCell="A1" sqref="A1"/>
    </sheetView>
  </sheetViews>
  <sheetFormatPr baseColWidth="8" defaultRowHeight="15"/>
  <cols>
    <col width="30" customWidth="1" min="1" max="1"/>
    <col width="14" customWidth="1" min="2" max="2"/>
    <col width="20" customWidth="1" min="3" max="3"/>
    <col width="14" customWidth="1" min="4" max="4"/>
    <col width="60" customWidth="1" min="5" max="5"/>
  </cols>
  <sheetData>
    <row r="1">
      <c r="A1" s="17" t="inlineStr">
        <is>
          <t>카테고리 (Category)</t>
        </is>
      </c>
      <c r="B1" s="17" t="inlineStr">
        <is>
          <t>전체 개수
(Total Count)</t>
        </is>
      </c>
      <c r="C1" s="17" t="inlineStr">
        <is>
          <t>그룹
(Group)</t>
        </is>
      </c>
      <c r="D1" s="17" t="inlineStr">
        <is>
          <t>난이도
(Difficulty)</t>
        </is>
      </c>
      <c r="E1" s="17" t="inlineStr">
        <is>
          <t>설명 (Description)</t>
        </is>
      </c>
    </row>
    <row r="2">
      <c r="A2" s="8" t="inlineStr">
        <is>
          <t>simple_python
(단일 Python)</t>
        </is>
      </c>
      <c r="B2" s="9" t="n">
        <v>399</v>
      </c>
      <c r="C2" s="8" t="inlineStr">
        <is>
          <t>AST_NON_LIVE</t>
        </is>
      </c>
      <c r="D2" s="9" t="inlineStr">
        <is>
          <t>⭐</t>
        </is>
      </c>
      <c r="E2" s="8" t="inlineStr">
        <is>
          <t>기본 파라미터를 가진 단일 Python 함수 호출 | Single Python function call with basic parameters</t>
        </is>
      </c>
    </row>
    <row r="3">
      <c r="A3" s="12" t="inlineStr">
        <is>
          <t>simple_javascript
(단일 JavaScript)</t>
        </is>
      </c>
      <c r="B3" s="13" t="n">
        <v>49</v>
      </c>
      <c r="C3" s="12" t="inlineStr">
        <is>
          <t>AST_NON_LIVE</t>
        </is>
      </c>
      <c r="D3" s="13" t="inlineStr">
        <is>
          <t>⭐</t>
        </is>
      </c>
      <c r="E3" s="12" t="inlineStr">
        <is>
          <t>기본 파라미터를 가진 단일 JavaScript 함수 호출 | Single JavaScript function call with basic parameters</t>
        </is>
      </c>
    </row>
    <row r="4">
      <c r="A4" s="8" t="inlineStr">
        <is>
          <t>simple_java
(단일 Java)</t>
        </is>
      </c>
      <c r="B4" s="9" t="n">
        <v>99</v>
      </c>
      <c r="C4" s="8" t="inlineStr">
        <is>
          <t>AST_NON_LIVE</t>
        </is>
      </c>
      <c r="D4" s="9" t="inlineStr">
        <is>
          <t>⭐</t>
        </is>
      </c>
      <c r="E4" s="8" t="inlineStr">
        <is>
          <t>기본 파라미터를 가진 단일 Java 함수 호출 | Single Java function call with basic parameters</t>
        </is>
      </c>
    </row>
    <row r="5">
      <c r="A5" s="12" t="inlineStr">
        <is>
          <t>multiple
(다중 파라미터)</t>
        </is>
      </c>
      <c r="B5" s="13" t="n">
        <v>199</v>
      </c>
      <c r="C5" s="12" t="inlineStr">
        <is>
          <t>AST_NON_LIVE</t>
        </is>
      </c>
      <c r="D5" s="13" t="inlineStr">
        <is>
          <t>⭐⭐</t>
        </is>
      </c>
      <c r="E5" s="12" t="inlineStr">
        <is>
          <t>단일 함수에 여러 파라미터 전달 | Multiple parameters in single function call</t>
        </is>
      </c>
    </row>
    <row r="6">
      <c r="A6" s="8" t="inlineStr">
        <is>
          <t>parallel
(병렬 호출)</t>
        </is>
      </c>
      <c r="B6" s="9" t="n">
        <v>199</v>
      </c>
      <c r="C6" s="8" t="inlineStr">
        <is>
          <t>AST_NON_LIVE</t>
        </is>
      </c>
      <c r="D6" s="9" t="inlineStr">
        <is>
          <t>⭐⭐</t>
        </is>
      </c>
      <c r="E6" s="8" t="inlineStr">
        <is>
          <t>여러 함수를 병렬로 호출 (순서 무시) | Multiple functions called in parallel (order-independent)</t>
        </is>
      </c>
    </row>
    <row r="7">
      <c r="A7" s="12" t="inlineStr">
        <is>
          <t>parallel_multiple
(병렬 다중)</t>
        </is>
      </c>
      <c r="B7" s="13" t="n">
        <v>199</v>
      </c>
      <c r="C7" s="12" t="inlineStr">
        <is>
          <t>AST_NON_LIVE</t>
        </is>
      </c>
      <c r="D7" s="13" t="inlineStr">
        <is>
          <t>⭐⭐⭐</t>
        </is>
      </c>
      <c r="E7" s="12" t="inlineStr">
        <is>
          <t>여러 함수를 다중 파라미터로 병렬 호출 (순서 무시) | Multiple functions with multiple parameters in parallel (order-independent)</t>
        </is>
      </c>
    </row>
    <row r="8">
      <c r="A8" s="8" t="inlineStr">
        <is>
          <t>live_simple
(실행 단일)</t>
        </is>
      </c>
      <c r="B8" s="9" t="n">
        <v>257</v>
      </c>
      <c r="C8" s="8" t="inlineStr">
        <is>
          <t>AST_LIVE</t>
        </is>
      </c>
      <c r="D8" s="9" t="inlineStr">
        <is>
          <t>⭐⭐</t>
        </is>
      </c>
      <c r="E8" s="8" t="inlineStr">
        <is>
          <t>실제 API를 사용한 단순 함수 호출 | Simple function calls using live/real APIs</t>
        </is>
      </c>
    </row>
    <row r="9">
      <c r="A9" s="12" t="inlineStr">
        <is>
          <t>live_multiple
(실행 다중)</t>
        </is>
      </c>
      <c r="B9" s="13" t="n">
        <v>1052</v>
      </c>
      <c r="C9" s="12" t="inlineStr">
        <is>
          <t>AST_LIVE</t>
        </is>
      </c>
      <c r="D9" s="13" t="inlineStr">
        <is>
          <t>⭐⭐</t>
        </is>
      </c>
      <c r="E9" s="12" t="inlineStr">
        <is>
          <t>실제 API에 다중 파라미터 함수 | Multiple parameter functions with live APIs</t>
        </is>
      </c>
    </row>
    <row r="10">
      <c r="A10" s="8" t="inlineStr">
        <is>
          <t>live_parallel
(실행 병렬)</t>
        </is>
      </c>
      <c r="B10" s="9" t="n">
        <v>15</v>
      </c>
      <c r="C10" s="8" t="inlineStr">
        <is>
          <t>AST_LIVE</t>
        </is>
      </c>
      <c r="D10" s="9" t="inlineStr">
        <is>
          <t>⭐⭐⭐</t>
        </is>
      </c>
      <c r="E10" s="8" t="inlineStr">
        <is>
          <t>실제 API 병렬 함수 호출 (순서 무시) | Parallel function calls with live APIs (order-independent)</t>
        </is>
      </c>
    </row>
    <row r="11">
      <c r="A11" s="12" t="inlineStr">
        <is>
          <t>live_parallel_multiple
(실행 병렬 다중)</t>
        </is>
      </c>
      <c r="B11" s="13" t="n">
        <v>23</v>
      </c>
      <c r="C11" s="12" t="inlineStr">
        <is>
          <t>AST_LIVE</t>
        </is>
      </c>
      <c r="D11" s="13" t="inlineStr">
        <is>
          <t>⭐⭐⭐</t>
        </is>
      </c>
      <c r="E11" s="12" t="inlineStr">
        <is>
          <t>실제 API 복잡한 병렬 호출 (순서 무시) | Complex parallel calls with live APIs (order-independent)</t>
        </is>
      </c>
    </row>
    <row r="12">
      <c r="A12" s="8" t="inlineStr">
        <is>
          <t>multi_turn_base
(멀티턴 기본)</t>
        </is>
      </c>
      <c r="B12" s="9" t="n">
        <v>200</v>
      </c>
      <c r="C12" s="8" t="inlineStr">
        <is>
          <t>MULTI_TURN</t>
        </is>
      </c>
      <c r="D12" s="9" t="inlineStr">
        <is>
          <t>⭐⭐⭐</t>
        </is>
      </c>
      <c r="E12" s="8" t="inlineStr">
        <is>
          <t>기본 멀티턴 대화형 함수 호출 | Basic multi-turn conversational function calling</t>
        </is>
      </c>
    </row>
    <row r="13">
      <c r="A13" s="12" t="inlineStr">
        <is>
          <t>multi_turn_miss_func
(멀티턴 함수누락)</t>
        </is>
      </c>
      <c r="B13" s="13" t="n">
        <v>200</v>
      </c>
      <c r="C13" s="12" t="inlineStr">
        <is>
          <t>MULTI_TURN</t>
        </is>
      </c>
      <c r="D13" s="13" t="inlineStr">
        <is>
          <t>⭐⭐⭐</t>
        </is>
      </c>
      <c r="E13" s="12" t="inlineStr">
        <is>
          <t>함수 누락 처리가 필요한 멀티턴 | Multi-turn with missing function handling</t>
        </is>
      </c>
    </row>
    <row r="14">
      <c r="A14" s="8" t="inlineStr">
        <is>
          <t>multi_turn_miss_param
(멀티턴 파라미터누락)</t>
        </is>
      </c>
      <c r="B14" s="9" t="n">
        <v>200</v>
      </c>
      <c r="C14" s="8" t="inlineStr">
        <is>
          <t>MULTI_TURN</t>
        </is>
      </c>
      <c r="D14" s="9" t="inlineStr">
        <is>
          <t>⭐⭐⭐</t>
        </is>
      </c>
      <c r="E14" s="8" t="inlineStr">
        <is>
          <t>파라미터 누락 처리가 필요한 멀티턴 | Multi-turn with missing parameter handling</t>
        </is>
      </c>
    </row>
    <row r="15">
      <c r="A15" s="12" t="inlineStr">
        <is>
          <t>multi_turn_long_context
(멀티턴 긴컨텍스트)</t>
        </is>
      </c>
      <c r="B15" s="13" t="n">
        <v>200</v>
      </c>
      <c r="C15" s="12" t="inlineStr">
        <is>
          <t>MULTI_TURN</t>
        </is>
      </c>
      <c r="D15" s="13" t="inlineStr">
        <is>
          <t>⭐⭐⭐⭐</t>
        </is>
      </c>
      <c r="E15" s="12" t="inlineStr">
        <is>
          <t>긴 컨텍스트가 필요한 멀티턴 | Multi-turn with extended context requirements</t>
        </is>
      </c>
    </row>
    <row r="16">
      <c r="A16" s="8" t="inlineStr">
        <is>
          <t>irrelevance
(관련없음 탐지)</t>
        </is>
      </c>
      <c r="B16" s="9" t="n">
        <v>239</v>
      </c>
      <c r="C16" s="8" t="inlineStr">
        <is>
          <t>RELEVANCE</t>
        </is>
      </c>
      <c r="D16" s="9" t="inlineStr">
        <is>
          <t>⭐⭐</t>
        </is>
      </c>
      <c r="E16" s="8" t="inlineStr">
        <is>
          <t>함수를 호출하지 말아야 할 때 탐지 | Detecting when NOT to call any function</t>
        </is>
      </c>
    </row>
    <row r="17">
      <c r="A17" s="12" t="inlineStr">
        <is>
          <t>live_irrelevance
(실행 관련없음)</t>
        </is>
      </c>
      <c r="B17" s="13" t="n">
        <v>884</v>
      </c>
      <c r="C17" s="12" t="inlineStr">
        <is>
          <t>RELEVANCE</t>
        </is>
      </c>
      <c r="D17" s="13" t="inlineStr">
        <is>
          <t>⭐⭐</t>
        </is>
      </c>
      <c r="E17" s="12" t="inlineStr">
        <is>
          <t>실제 API에서 관련없는 함수 호출 회피 | Avoiding irrelevant function calls with live APIs</t>
        </is>
      </c>
    </row>
    <row r="18">
      <c r="A18" s="8" t="inlineStr">
        <is>
          <t>live_relevance
(실행 관련성)</t>
        </is>
      </c>
      <c r="B18" s="9" t="n">
        <v>16</v>
      </c>
      <c r="C18" s="8" t="inlineStr">
        <is>
          <t>RELEVANCE</t>
        </is>
      </c>
      <c r="D18" s="9" t="inlineStr">
        <is>
          <t>⭐⭐</t>
        </is>
      </c>
      <c r="E18" s="8" t="inlineStr">
        <is>
          <t>실제 API에서 관련 있는 함수 탐지 | Detecting relevant functions with live APIs</t>
        </is>
      </c>
    </row>
    <row r="19">
      <c r="A19" s="12" t="inlineStr">
        <is>
          <t>web_search
(웹 검색)</t>
        </is>
      </c>
      <c r="B19" s="13" t="n">
        <v>99</v>
      </c>
      <c r="C19" s="12" t="inlineStr">
        <is>
          <t>AGENTIC</t>
        </is>
      </c>
      <c r="D19" s="13" t="inlineStr">
        <is>
          <t>⭐⭐⭐</t>
        </is>
      </c>
      <c r="E19" s="12" t="inlineStr">
        <is>
          <t>웹 검색 에이전트 기능 | Web search agent capabilities</t>
        </is>
      </c>
    </row>
    <row r="20">
      <c r="A20" s="8" t="inlineStr">
        <is>
          <t>memory
(메모리 관리)</t>
        </is>
      </c>
      <c r="B20" s="9" t="n">
        <v>155</v>
      </c>
      <c r="C20" s="8" t="inlineStr">
        <is>
          <t>AGENTIC</t>
        </is>
      </c>
      <c r="D20" s="9" t="inlineStr">
        <is>
          <t>⭐⭐⭐</t>
        </is>
      </c>
      <c r="E20" s="8" t="inlineStr">
        <is>
          <t>대화 메모리 관리 및 컨텍스트 유지 | Memory management and context retention</t>
        </is>
      </c>
    </row>
    <row r="21">
      <c r="A21" s="12" t="inlineStr">
        <is>
          <t>format_sensitivity
(포맷 민감도)</t>
        </is>
      </c>
      <c r="B21" s="13" t="n">
        <v>9</v>
      </c>
      <c r="C21" s="12" t="inlineStr">
        <is>
          <t>AGENTIC</t>
        </is>
      </c>
      <c r="D21" s="13" t="inlineStr">
        <is>
          <t>⭐⭐</t>
        </is>
      </c>
      <c r="E21" s="12" t="inlineStr">
        <is>
          <t>다양한 입력 포맷에 대한 민감도 | Sensitivity to various input formats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2"/>
  <sheetViews>
    <sheetView workbookViewId="0">
      <pane ySplit="1" topLeftCell="A2" activePane="bottomLeft" state="frozen"/>
      <selection pane="bottomLeft" activeCell="A1" sqref="A1"/>
    </sheetView>
  </sheetViews>
  <sheetFormatPr baseColWidth="8" defaultRowHeight="15"/>
  <cols>
    <col width="32" customWidth="1" min="1" max="1"/>
    <col width="85" customWidth="1" min="2" max="2"/>
  </cols>
  <sheetData>
    <row r="1">
      <c r="A1" s="1" t="inlineStr">
        <is>
          <t>구분 (Section)</t>
        </is>
      </c>
      <c r="B1" s="1" t="inlineStr">
        <is>
          <t>내용 (Content)</t>
        </is>
      </c>
    </row>
    <row r="2">
      <c r="A2" s="8" t="inlineStr">
        <is>
          <t>📊 BFCL 공식 (Official)</t>
        </is>
      </c>
      <c r="B2" s="8" t="inlineStr">
        <is>
          <t>Berkeley Function Calling Leaderboard (BFCL)</t>
        </is>
      </c>
    </row>
    <row r="3">
      <c r="A3" s="12" t="inlineStr">
        <is>
          <t>🌐 웹사이트 (Website)</t>
        </is>
      </c>
      <c r="B3" s="12" t="inlineStr">
        <is>
          <t>https://gorilla.cs.berkeley.edu/leaderboard.html</t>
        </is>
      </c>
    </row>
    <row r="4">
      <c r="A4" s="8" t="inlineStr">
        <is>
          <t>💻 GitHub</t>
        </is>
      </c>
      <c r="B4" s="8" t="inlineStr">
        <is>
          <t>https://github.com/ShishirPatil/gorilla/tree/main/berkeley-function-call-leaderboard</t>
        </is>
      </c>
    </row>
    <row r="5">
      <c r="A5" s="12" t="inlineStr">
        <is>
          <t>📁 Dataset</t>
        </is>
      </c>
      <c r="B5" s="12" t="inlineStr">
        <is>
          <t>https://huggingface.co/datasets/gorilla-llm/Berkeley-Function-Calling-Leaderboard</t>
        </is>
      </c>
    </row>
    <row r="6">
      <c r="A6" t="inlineStr">
        <is>
          <t xml:space="preserve"> </t>
        </is>
      </c>
      <c r="B6" t="inlineStr">
        <is>
          <t xml:space="preserve"> </t>
        </is>
      </c>
    </row>
    <row r="7">
      <c r="A7" s="14" t="inlineStr">
        <is>
          <t>━━━ 평가 방법 (Evaluation Methods) ━━━</t>
        </is>
      </c>
      <c r="B7" s="16" t="inlineStr">
        <is>
          <t xml:space="preserve"> </t>
        </is>
      </c>
    </row>
    <row r="8">
      <c r="A8" s="8" t="inlineStr">
        <is>
          <t>🌳 AST 평가</t>
        </is>
      </c>
      <c r="B8" s="8" t="inlineStr">
        <is>
          <t>추상 구문 트리 비교 (Abstract Syntax Tree comparison for structural correctness)</t>
        </is>
      </c>
    </row>
    <row r="9">
      <c r="A9" s="12" t="inlineStr">
        <is>
          <t>⚙️ 실행 평가</t>
        </is>
      </c>
      <c r="B9" s="12" t="inlineStr">
        <is>
          <t>REST API 및 Python 함수 실제 실행 (Actual execution for REST APIs and Python functions)</t>
        </is>
      </c>
    </row>
    <row r="10">
      <c r="A10" s="8" t="inlineStr">
        <is>
          <t>✅ 관련성 탐지</t>
        </is>
      </c>
      <c r="B10" s="8" t="inlineStr">
        <is>
          <t>관련 없는 함수 호출 회피 능력 (Ability to avoid irrelevant function calls)</t>
        </is>
      </c>
    </row>
    <row r="11">
      <c r="A11" s="12" t="inlineStr">
        <is>
          <t>🔀 병렬 호출 순서</t>
        </is>
      </c>
      <c r="B11" s="12" t="inlineStr">
        <is>
          <t>BFCL 표준: 병렬(parallel) 카테고리는 호출 순서 무시. 집합처럼 매칭 (Order-independent matching for parallel function calls)</t>
        </is>
      </c>
    </row>
    <row r="12">
      <c r="A12" t="inlineStr">
        <is>
          <t xml:space="preserve"> </t>
        </is>
      </c>
      <c r="B12" t="inlineStr">
        <is>
          <t xml:space="preserve"> </t>
        </is>
      </c>
    </row>
    <row r="13">
      <c r="A13" s="14" t="inlineStr">
        <is>
          <t>━━━ 점수 산출 (Scoring) ━━━</t>
        </is>
      </c>
      <c r="B13" s="16" t="inlineStr">
        <is>
          <t xml:space="preserve"> </t>
        </is>
      </c>
    </row>
    <row r="14">
      <c r="A14" s="8" t="inlineStr">
        <is>
          <t>📈 전체 정확도</t>
        </is>
      </c>
      <c r="B14" s="8" t="inlineStr">
        <is>
          <t>Overall Accuracy = Σ(Category Accuracy) / N (모든 카테고리의 비가중 평균)</t>
        </is>
      </c>
    </row>
    <row r="15">
      <c r="A15" s="12" t="inlineStr">
        <is>
          <t>📊 카테고리 정확도</t>
        </is>
      </c>
      <c r="B15" s="12" t="inlineStr">
        <is>
          <t>Category Accuracy = (PASS count / Total count) × 100%</t>
        </is>
      </c>
    </row>
    <row r="16">
      <c r="A16" s="8" t="inlineStr">
        <is>
          <t>📂 그룹 정확도</t>
        </is>
      </c>
      <c r="B16" s="8" t="inlineStr">
        <is>
          <t>Group Accuracy = 동일 그룹 내 카테고리들의 평균 (Average of categories within same group)</t>
        </is>
      </c>
    </row>
    <row r="17">
      <c r="A17" t="inlineStr">
        <is>
          <t xml:space="preserve"> </t>
        </is>
      </c>
      <c r="B17" t="inlineStr">
        <is>
          <t xml:space="preserve"> </t>
        </is>
      </c>
    </row>
    <row r="18">
      <c r="A18" s="14" t="inlineStr">
        <is>
          <t>━━━ 논문 (Papers) ━━━</t>
        </is>
      </c>
      <c r="B18" s="16" t="inlineStr">
        <is>
          <t xml:space="preserve"> </t>
        </is>
      </c>
    </row>
    <row r="19">
      <c r="A19" s="12" t="inlineStr">
        <is>
          <t>📄 BFCL v1</t>
        </is>
      </c>
      <c r="B19" s="12" t="inlineStr">
        <is>
          <t>AST 평가 메트릭 도입 (Introducing AST evaluation metric)</t>
        </is>
      </c>
    </row>
    <row r="20">
      <c r="A20" s="8" t="inlineStr">
        <is>
          <t>📄 BFCL v2</t>
        </is>
      </c>
      <c r="B20" s="8" t="inlineStr">
        <is>
          <t>기업 및 OSS 기여 함수 (Enterprise and OSS-contributed functions)</t>
        </is>
      </c>
    </row>
    <row r="21">
      <c r="A21" s="12" t="inlineStr">
        <is>
          <t>📄 BFCL v3</t>
        </is>
      </c>
      <c r="B21" s="12" t="inlineStr">
        <is>
          <t>멀티턴 상호작용 (Multi-turn interactions)</t>
        </is>
      </c>
    </row>
    <row r="22">
      <c r="A22" s="8" t="inlineStr">
        <is>
          <t>📄 BFCL v4</t>
        </is>
      </c>
      <c r="B22" s="8" t="inlineStr">
        <is>
          <t>종합적 에이전트 평가 (Holistic agentic evaluation)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2026-01-21T07:24:49Z</dcterms:created>
  <dcterms:modified xmlns:dcterms="http://purl.org/dc/terms/" xmlns:xsi="http://www.w3.org/2001/XMLSchema-instance" xsi:type="dcterms:W3CDTF">2026-01-21T07:24:49Z</dcterms:modified>
</cp:coreProperties>
</file>